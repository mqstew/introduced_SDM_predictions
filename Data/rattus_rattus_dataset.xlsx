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w\Documents\Modelling\Data\"/>
    </mc:Choice>
  </mc:AlternateContent>
  <xr:revisionPtr revIDLastSave="0" documentId="13_ncr:1_{F652F626-16AC-4816-9715-68447485D142}" xr6:coauthVersionLast="47" xr6:coauthVersionMax="47" xr10:uidLastSave="{00000000-0000-0000-0000-000000000000}"/>
  <bookViews>
    <workbookView xWindow="-108" yWindow="-108" windowWidth="23256" windowHeight="12456" xr2:uid="{C1870076-6D6C-4297-852F-9610E08F3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58" i="1" l="1"/>
  <c r="S58" i="1"/>
  <c r="W58" i="1" s="1"/>
  <c r="Q58" i="1"/>
  <c r="S57" i="1"/>
  <c r="W57" i="1" s="1"/>
  <c r="R56" i="1"/>
  <c r="S56" i="1" s="1"/>
  <c r="W56" i="1" s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U33" i="1"/>
  <c r="V33" i="1" s="1"/>
  <c r="W33" i="1" s="1"/>
  <c r="U32" i="1"/>
  <c r="V32" i="1" s="1"/>
  <c r="W32" i="1" s="1"/>
  <c r="S31" i="1"/>
  <c r="V31" i="1"/>
  <c r="V30" i="1"/>
  <c r="W30" i="1" s="1"/>
  <c r="V29" i="1"/>
  <c r="S29" i="1"/>
  <c r="W28" i="1"/>
  <c r="V28" i="1"/>
  <c r="S27" i="1"/>
  <c r="W27" i="1" s="1"/>
  <c r="W26" i="1"/>
  <c r="V26" i="1"/>
  <c r="V25" i="1"/>
  <c r="V24" i="1"/>
  <c r="S25" i="1"/>
  <c r="W25" i="1" s="1"/>
  <c r="R24" i="1"/>
  <c r="Q24" i="1"/>
  <c r="S23" i="1"/>
  <c r="W23" i="1" s="1"/>
  <c r="W22" i="1"/>
  <c r="S21" i="1"/>
  <c r="W21" i="1" s="1"/>
  <c r="Q19" i="1"/>
  <c r="S19" i="1" s="1"/>
  <c r="W19" i="1" s="1"/>
  <c r="S18" i="1"/>
  <c r="V18" i="1"/>
  <c r="V17" i="1"/>
  <c r="W17" i="1" s="1"/>
  <c r="S16" i="1"/>
  <c r="W16" i="1" s="1"/>
  <c r="S20" i="1"/>
  <c r="V20" i="1"/>
  <c r="W15" i="1"/>
  <c r="W14" i="1"/>
  <c r="V14" i="1"/>
  <c r="V13" i="1"/>
  <c r="W13" i="1" s="1"/>
  <c r="W12" i="1"/>
  <c r="W11" i="1"/>
  <c r="W10" i="1"/>
  <c r="S9" i="1"/>
  <c r="W9" i="1" s="1"/>
  <c r="R8" i="1"/>
  <c r="Q8" i="1"/>
  <c r="R7" i="1"/>
  <c r="Q7" i="1"/>
  <c r="W6" i="1"/>
  <c r="V6" i="1"/>
  <c r="V5" i="1"/>
  <c r="W5" i="1" s="1"/>
  <c r="W4" i="1"/>
  <c r="V3" i="1"/>
  <c r="W3" i="1" s="1"/>
  <c r="V2" i="1"/>
  <c r="S2" i="1"/>
  <c r="W2" i="1" s="1"/>
  <c r="W31" i="1" l="1"/>
  <c r="S24" i="1"/>
  <c r="W24" i="1" s="1"/>
  <c r="W20" i="1"/>
  <c r="W18" i="1"/>
  <c r="S8" i="1"/>
  <c r="W8" i="1" s="1"/>
  <c r="S7" i="1"/>
  <c r="W7" i="1" s="1"/>
</calcChain>
</file>

<file path=xl/sharedStrings.xml><?xml version="1.0" encoding="utf-8"?>
<sst xmlns="http://schemas.openxmlformats.org/spreadsheetml/2006/main" count="1040" uniqueCount="290">
  <si>
    <t>10.1007/978-4-431-53859-2_23</t>
  </si>
  <si>
    <t>Eradication and Ecosystem Impacts of Rats in the Ogasawara Islands</t>
  </si>
  <si>
    <t>Takuma Hashimoto</t>
  </si>
  <si>
    <t>Nishijima</t>
  </si>
  <si>
    <t>Ogasawara Village</t>
  </si>
  <si>
    <t>Tokyo</t>
  </si>
  <si>
    <t>Japan</t>
  </si>
  <si>
    <t>Asia</t>
  </si>
  <si>
    <t>yes</t>
  </si>
  <si>
    <t>ind/ha</t>
  </si>
  <si>
    <t>Terrestrial</t>
  </si>
  <si>
    <t>Animalia</t>
  </si>
  <si>
    <t>Chordata</t>
  </si>
  <si>
    <t>Mammalia</t>
  </si>
  <si>
    <t>Vertebrates</t>
  </si>
  <si>
    <t>Rattus rattus</t>
  </si>
  <si>
    <t>10.1007/bf00051961</t>
  </si>
  <si>
    <t>The small mammal fauna of R serve Sp ciale d'Analamazaotra, Madagascar: the effects of human disturbance on endemic species diversity</t>
  </si>
  <si>
    <t>P. J. Stephenson</t>
  </si>
  <si>
    <t>Biodiversity and Conservation</t>
  </si>
  <si>
    <t>Andasibe</t>
  </si>
  <si>
    <t>Toamasina Province</t>
  </si>
  <si>
    <t>Madagascar</t>
  </si>
  <si>
    <t>Africa</t>
  </si>
  <si>
    <t>South America</t>
  </si>
  <si>
    <t>Biological Invasions</t>
  </si>
  <si>
    <t>New Caledonia</t>
  </si>
  <si>
    <t>Oceania</t>
  </si>
  <si>
    <t>Marine</t>
  </si>
  <si>
    <t>10.1007/s10530-009-9560-y</t>
  </si>
  <si>
    <t>Response of mice (Mus musculus) to the removal of black rats (Rattus rattus) in arid forest on Santa Cruz Island, GalÃƒÂ¡pagos</t>
  </si>
  <si>
    <t>G. A. Harper; L. F. Cabrera</t>
  </si>
  <si>
    <t>Arid coastal forest near Puerto Ayora, southern Santa Cruz Island, GalÃƒÂ¡pagos</t>
  </si>
  <si>
    <t>Puerto Ayora</t>
  </si>
  <si>
    <t>GalÃƒÂ¡pagos Province</t>
  </si>
  <si>
    <t>Ecuador</t>
  </si>
  <si>
    <t>Flagged</t>
  </si>
  <si>
    <t>Unknown</t>
  </si>
  <si>
    <t>10.1007/s10530-010-9876-7</t>
  </si>
  <si>
    <t>Are introduced rats (Rattus rattus) both seed predators and dispersers in Hawaii?</t>
  </si>
  <si>
    <t>Aaron B. Shiels; Donald R. Drake</t>
  </si>
  <si>
    <t>Kahanahaiki Management Unit, Waianae Mountains, Oahu</t>
  </si>
  <si>
    <t>Honolulu</t>
  </si>
  <si>
    <t>Hawaii</t>
  </si>
  <si>
    <t>North America</t>
  </si>
  <si>
    <t>10.1007/s10530-012-0280-3</t>
  </si>
  <si>
    <t>Large-scale rodent control reduces pre- and post-dispersal seed predation of the endangered Hawaiian lobeliad, Cyanea superba subsp. superba (Campanulaceae)</t>
  </si>
  <si>
    <t>Richard J. Pender; Aaron B. Shiels; Lalasia Bialic-Murphy; Stephen M. Mosher</t>
  </si>
  <si>
    <t>Kahanahaiki Management Unit</t>
  </si>
  <si>
    <t>Oahu, Hawaii</t>
  </si>
  <si>
    <t>10.1007/s10530-016-1340-x</t>
  </si>
  <si>
    <t>Exotic black rats increase invertebrate Ordinal richness in urban habitat remnants</t>
  </si>
  <si>
    <t>Helen M. Smith; Chris R. Dickman; Peter B. Banks</t>
  </si>
  <si>
    <t>Sydney Harbour National Park urban habitat remnants</t>
  </si>
  <si>
    <t>Sydney</t>
  </si>
  <si>
    <t>New South Wales</t>
  </si>
  <si>
    <t>Australia</t>
  </si>
  <si>
    <t>no</t>
  </si>
  <si>
    <t>Europe</t>
  </si>
  <si>
    <t>10.1007/s10530-019-02090-x</t>
  </si>
  <si>
    <t>Limits to alien black rats (Rattus rattus) acting as equivalent pollinators to extinct native small mammals: the influence of stem width on mammal activity at native Banksia ericifolia inflorescences</t>
  </si>
  <si>
    <t>Rebecca L. OÃ¢â‚¬â„¢Rourke; Jennifer R. Anson; Amelia M. Saul; Peter B. Banks</t>
  </si>
  <si>
    <t>North Head Sanctuary, North Head peninsula</t>
  </si>
  <si>
    <t>10.1007/s10530-020-02343-0</t>
  </si>
  <si>
    <t>Impact of introduced nest predators on insular endemic birds: the case of the Azores Woodpigeon (Columba palumbus azorica)</t>
  </si>
  <si>
    <t>Lucas Lamelas-LÃƒÂ³pez; RÃƒÂ©mi Fontaine; Paulo A. V. Borges; David GonÃƒÂ§alves</t>
  </si>
  <si>
    <t>Pico Island</t>
  </si>
  <si>
    <t>Azores</t>
  </si>
  <si>
    <t>Portugal</t>
  </si>
  <si>
    <t>Terceira Island</t>
  </si>
  <si>
    <t>10.1007/s10530-022-02905-4</t>
  </si>
  <si>
    <t>Food web of Mocha Island (Chile) reveals the interaction between the invasive Rattus rattus and the endemic anuran Eupsophus insularis</t>
  </si>
  <si>
    <t>Gabriel Lobos; Gianina Tapia; Catalina Sagredo; Marcela Vidal</t>
  </si>
  <si>
    <t>Isla Mocha National Reserve</t>
  </si>
  <si>
    <t>BiobÃƒÂ­o Region</t>
  </si>
  <si>
    <t>Chile</t>
  </si>
  <si>
    <t>N</t>
  </si>
  <si>
    <t>10.1007/s10530-023-03161-w</t>
  </si>
  <si>
    <t>Protection and mortality of non-target terrestrial bird species during the eradication of rodents on LordÃ‚Â Howe Island</t>
  </si>
  <si>
    <t>T. W. OÃ¢â‚¬â„¢Dwyer; N. Carlile; L. OÃ¢â‚¬â„¢Neill; H. Fairlamb; H. Bower</t>
  </si>
  <si>
    <t>Lord Howe Island</t>
  </si>
  <si>
    <t>10.1016/j.biocon.2017.08.015</t>
  </si>
  <si>
    <t>Controlling invasive predators enhances the long-term survival of endangered New Zealand long-tailed bats (Chalinolobus tuberculatus): Implications for conservation of bats on oceanic islands</t>
  </si>
  <si>
    <t>Colin F.J. O'Donnell; Moira A. Pryde; Paul van Dam-Bates; Graeme P. Elliott</t>
  </si>
  <si>
    <t>Biological Conservation</t>
  </si>
  <si>
    <t>Fiordland</t>
  </si>
  <si>
    <t>New Zealand</t>
  </si>
  <si>
    <t>10.1016/j.biocon.2023.109934</t>
  </si>
  <si>
    <t>Free-roaming dogs but not invasive mammals established in the wild endanger the flightless kagu of New Caledonia</t>
  </si>
  <si>
    <t>JÃƒÂ¶rn Theuerkauf; Sophie Rouys; Henri Bloc; Gavin R. Hunt; Ralph Kuehn; Roman Gula</t>
  </si>
  <si>
    <t>Province Sud</t>
  </si>
  <si>
    <t>10.1016/j.envsci.2015.05.002</t>
  </si>
  <si>
    <t>The impact and legislative framework of invasive mammals on Portuguese Macaronesian islands: A case study on Corvo, Azores</t>
  </si>
  <si>
    <t>Sandra HervÃƒÂ­as Parejo; JosÃƒÂ© Benedicto Royuela; Juan L. RodrÃƒÂ­guez-Luengo; Jaime A. Ramos; FÃƒÂ©lix M. Medina; Pedro Geraldes; RocÃƒÂ­o Ruiz de YbÃƒÂ¡ÃƒÂ±ez; Manuel Nogales</t>
  </si>
  <si>
    <t>Environmental Science &amp;amp; Policy</t>
  </si>
  <si>
    <t>Corvo Island</t>
  </si>
  <si>
    <t>Vila do Corvo</t>
  </si>
  <si>
    <t>ind/100 trap nights</t>
  </si>
  <si>
    <t>10.1016/s0261-2194(97)00062-8</t>
  </si>
  <si>
    <t>The role of adjacent habitats in rodent damage levels in Australian macadamia orchard systems</t>
  </si>
  <si>
    <t>J White; J Wilson; K Horskins</t>
  </si>
  <si>
    <t>Sunshine Coast, Queensland; six macadamia orchards</t>
  </si>
  <si>
    <t>Sunshine Coast</t>
  </si>
  <si>
    <t>Queensland</t>
  </si>
  <si>
    <t>10.1017/s0030605305001286</t>
  </si>
  <si>
    <t>Monitoring invasive mammalian predator populations sharing habitat with the Critically Endangered Puerto Rican parrot &lt;i&gt;Amazona vittata&lt;/i&gt;</t>
  </si>
  <si>
    <t>Richard Engeman; Desley Whisson; Jessica Quinn; Felipe Cano; Pedro QuiÃƒÂ±ones; Thomas H. White Jr</t>
  </si>
  <si>
    <t>Oryx</t>
  </si>
  <si>
    <t>Palo Colorado forest type, Caribbean National Forest (Sites 1Ã¢â‚¬â€œ5)</t>
  </si>
  <si>
    <t>RÃƒÂ­o Grande</t>
  </si>
  <si>
    <t>Sierra de Luquillo Mountains</t>
  </si>
  <si>
    <t>Puerto Rico</t>
  </si>
  <si>
    <t>10.1017/s0959270900001283</t>
  </si>
  <si>
    <t>Conservation of the Dark-rumped Petrel &lt;i&gt;Pterodroma phaeopygia&lt;/i&gt; of the GalÃƒÂ¡pagos Islands, 1982Ã¢â‚¬â€œ1991</t>
  </si>
  <si>
    <t>Justine B. Cruz; Felipe Cruz</t>
  </si>
  <si>
    <t>Bird Conservation International</t>
  </si>
  <si>
    <t>Cerro Pajas, Floreana Island</t>
  </si>
  <si>
    <t>Galapagos Islands</t>
  </si>
  <si>
    <t>10.1017/s1367943001001202</t>
  </si>
  <si>
    <t>Effects of forest fragmentation, introduced &lt;i&gt;Rattus rattus&lt;/i&gt; and the role of exotic tree plantations and secondary vegetation for the conservation of an endemic rodent and a small lemur in littoral forests of southeastern Madagascar</t>
  </si>
  <si>
    <t>JeanÃ¢â‚¬ÂBaptiste Ramanamanjato; JÃƒÂ¶rg U. Ganzhorn</t>
  </si>
  <si>
    <t>Animal Conservation</t>
  </si>
  <si>
    <t>Tolagnaro (Fort Dauphin)</t>
  </si>
  <si>
    <t>Tolagnaro (Fort Dauphin) region</t>
  </si>
  <si>
    <t>10.1017/s1367943003003196</t>
  </si>
  <si>
    <t>Effects of introduced &lt;i&gt;Rattus rattus&lt;/i&gt; on endemic small mammals in dry deciduous forest fragments of western Madagascar</t>
  </si>
  <si>
    <t>JÃƒÂ¶rg U. Ganzhorn</t>
  </si>
  <si>
    <t>Menabe region around Morondava; primary and secondary dry deciduous forest fragments, plantation, and savanna sites</t>
  </si>
  <si>
    <t>Morondava</t>
  </si>
  <si>
    <t>Menabe</t>
  </si>
  <si>
    <t>captures/100 trap-nights</t>
  </si>
  <si>
    <t>10.1023/a:1016687608020</t>
  </si>
  <si>
    <t>Habitat use by endemic and introduced rodents along a gradient of forest disturbance in Madagascar</t>
  </si>
  <si>
    <t>Jukka Lehtonen; Olli Mustonen; Haingotiana Ramiarinjanahary; Jari NiemelÃƒÂ¤; Hannu Rita</t>
  </si>
  <si>
    <t>Ranomafana National Park</t>
  </si>
  <si>
    <t>Ranomafana</t>
  </si>
  <si>
    <t>Fianarantsoa Province</t>
  </si>
  <si>
    <t>10.1038/s41598-021-96306-7</t>
  </si>
  <si>
    <t>Secondary seed removal in a degraded forest habitat in Madagascar</t>
  </si>
  <si>
    <t>Paula M. A. Fiedler; Alice De Lapparent; Jeremie Razafitsalama; Justin Sanamo; Kim J. E. Steffens; JÃƒÂ¶rg U. Ganzhorn</t>
  </si>
  <si>
    <t>Scientific Reports</t>
  </si>
  <si>
    <t>Oronjia Protected Area</t>
  </si>
  <si>
    <t>10.1038/srep38627</t>
  </si>
  <si>
    <t>Using effect size benchmarks to assess when alien impacts are actually alien</t>
  </si>
  <si>
    <t>Two wooded urban sites in south-eastern Sydney</t>
  </si>
  <si>
    <t>Sydney Harbour National Park</t>
  </si>
  <si>
    <t>10.1046/j.1523-1739.1993.07020316.x</t>
  </si>
  <si>
    <t>Potential Impact of Mammalian Nest Predators on Endemic Forest Birds of Western Mauna Kea, Hawaii</t>
  </si>
  <si>
    <t>Priyanga Amarasekare</t>
  </si>
  <si>
    <t>Western Mauna Kea - intermediate elevation mamaneÃ¢â‚¬â€œnaio area</t>
  </si>
  <si>
    <t>10.1046/j.1523-1739.2000.99190.x</t>
  </si>
  <si>
    <t>Black Rats, Island Characteristics, and Colonial Nesting Birds in the Mediterranean: Consequences of an Ancient Introduction</t>
  </si>
  <si>
    <t>JeanÃ¢â‚¬ÂLouis Martin; JeanÃ¢â‚¬ÂClaude Thibault; Vincent Bretagnolle</t>
  </si>
  <si>
    <t>Conservation Biology</t>
  </si>
  <si>
    <t>Corsica</t>
  </si>
  <si>
    <t>France</t>
  </si>
  <si>
    <t>10.1071/wr22068</t>
  </si>
  <si>
    <t>Investigating the impact of black rats (Rattus rattus) on the endemic and threatened avifauna of Christmas Island</t>
  </si>
  <si>
    <t>Rosalie Willacy; Samantha Flakus; Eve McDonald-Madden; Sarah Legge</t>
  </si>
  <si>
    <t>Wildlife Research</t>
  </si>
  <si>
    <t>Christmas Island</t>
  </si>
  <si>
    <t>10.1073/pnas.1210981109</t>
  </si>
  <si>
    <t>Exploiting olfactory learning in alien rats to protect birdsÃ¢â‚¬â„¢ eggs</t>
  </si>
  <si>
    <t>Catherine J. Price; Peter B. Banks</t>
  </si>
  <si>
    <t>Proceedings of the National Academy of Sciences</t>
  </si>
  <si>
    <t>10.1098/rstb.2009.0288</t>
  </si>
  <si>
    <t>How to save the rarest Darwin's finch from extinction: the mangrove finch on Isabela Island</t>
  </si>
  <si>
    <t>Birgit Fessl; Glyn H. Young; Richard P. Young; Jorge RodrÃƒÂ­guez-Matamoros; Michael Dvorak; Sabine Tebbich; John E. Fa</t>
  </si>
  <si>
    <t>Philosophical Transactions of the Royal Society B: Biological Sciences</t>
  </si>
  <si>
    <t>Playa Tortuga Negra (PTN)</t>
  </si>
  <si>
    <t>Galapagos</t>
  </si>
  <si>
    <t>rats per 100 trap nights</t>
  </si>
  <si>
    <t>10.1111/j.1365-2664.2009.01735.x</t>
  </si>
  <si>
    <t>Competition in an invaded rodent community reveals black rats as a threat to native bush rats in littoral rainforest of southÃ¢â‚¬Âeastern Australia</t>
  </si>
  <si>
    <t>Vicki L. Stokes; Peter B. Banks; Roger P. Pech; David M. Spratt</t>
  </si>
  <si>
    <t>Journal of Applied Ecology</t>
  </si>
  <si>
    <t>Beecroft Peninsula littoral rainforest, north of Jervis Bay</t>
  </si>
  <si>
    <t>Currarong</t>
  </si>
  <si>
    <t>10.1111/j.1469-7998.1970.tb01284.x</t>
  </si>
  <si>
    <t>Food preferences of an insular population of &lt;i&gt;Rattus rattus&lt;/i&gt;</t>
  </si>
  <si>
    <t>F. I. Norman</t>
  </si>
  <si>
    <t>Journal of Zoology</t>
  </si>
  <si>
    <t>Big Green Island, Furneaux Group</t>
  </si>
  <si>
    <t>Whitemark</t>
  </si>
  <si>
    <t>Tasmania</t>
  </si>
  <si>
    <t>10.1111/j.1469-7998.2000.tb01069.x</t>
  </si>
  <si>
    <t>The effects of forest fragmentation and isolation on insectivorous small mammals (Lipotyphla) on the Central High Plateau of Madagascar</t>
  </si>
  <si>
    <t>Steven M. Goodman; Daniel Rakotondravony</t>
  </si>
  <si>
    <t>RÃƒÂ©serve SpÃƒÂ©ciale d'Ambohitantely</t>
  </si>
  <si>
    <t>Ankazobe</t>
  </si>
  <si>
    <t>Analamanga</t>
  </si>
  <si>
    <t>10.1111/jzo.13063</t>
  </si>
  <si>
    <t>Habitat mosaic as a driver of the resilience of native species: The case of the assemblage of small mammals from the city of Franceville, Gabon</t>
  </si>
  <si>
    <t>J. B. MangombiÃ¢â‚¬ÂPambou; O. FossatiÃ¢â‚¬ÂGaschignard; N. N'Dilimabaka; O. Banga MveÃ¢â‚¬ÂElla; N. M. Longo Pendy; S. E. Dibakou; O. Mediannikov; F. Fenollar; E. Leroy; M. Bourgarel</t>
  </si>
  <si>
    <t>Franceville city: six districts (Mangoungou, Mbaya, Sable, YÃƒÂ©nÃƒÂ©, OmbÃƒÂ©lÃƒÂ©, Potos) and vegetation patches</t>
  </si>
  <si>
    <t>Franceville</t>
  </si>
  <si>
    <t>Gabon</t>
  </si>
  <si>
    <t>10.1111/mve.12739</t>
  </si>
  <si>
    <t>Are &lt;i&gt;Rattus rattus&lt;/i&gt; fleas invasive? Evaluation of flea communities in invasive and native rodents in Chile</t>
  </si>
  <si>
    <t>Nicol LizamaÃ¢â‚¬ÂSchmeisser; Elaine Serafin de Castro; Mario EspinozaÃ¢â‚¬ÂCarniglia; Yessica Herrera; MarÃƒÂ­a Carolina SilvaÃ¢â‚¬Âde La Fuente; Marcela Lareschi; Lucila Moreno</t>
  </si>
  <si>
    <t>Medical and Veterinary Entomology</t>
  </si>
  <si>
    <t>10.1371/journal.pone.0110666</t>
  </si>
  <si>
    <t>Spatial Segregation between Invasive and Native Commensal Rodents in an Urban Environment: A Case Study in Niamey, Niger</t>
  </si>
  <si>
    <t>Madougou Garba; Ambroise Dalecky; Ibrahima Kadaoure; Mamadou Kane; Karmadine Hima; Sophie Veran; Sama Gagare; Philippe Gauthier; Caroline Tatard; Jean-Pierre Rossi; Gauthier Dobigny</t>
  </si>
  <si>
    <t>PLoS ONE</t>
  </si>
  <si>
    <t>Niamey (multiple localities)</t>
  </si>
  <si>
    <t>Niamey</t>
  </si>
  <si>
    <t>Niger</t>
  </si>
  <si>
    <t>10.1371/journal.pone.0156180</t>
  </si>
  <si>
    <t>Nest Predation by Commensal Rodents in Urban Bushland Remnants</t>
  </si>
  <si>
    <t>PLOS ONE</t>
  </si>
  <si>
    <t>Sydney Harbour National Park (SHNP)</t>
  </si>
  <si>
    <t>10.1890/06-1701.1</t>
  </si>
  <si>
    <t>INTERFERENCE COMPETITION BETWEEN INTRODUCED BLACK RATS AND ENDEMIC GALÃƒÂPAGOS RICE RATS</t>
  </si>
  <si>
    <t>Donna B. Harris; David W. Macdonald</t>
  </si>
  <si>
    <t>Ecology</t>
  </si>
  <si>
    <t>La Bomba, north-central coast of Santiago Island</t>
  </si>
  <si>
    <t>GalÃƒÂ¡pagos Islands</t>
  </si>
  <si>
    <t>10.20417/nzjecol.41.9</t>
  </si>
  <si>
    <t>Invasive rodents, an overlooked threat for skinks in a tropical island hotspot of biodiversity</t>
  </si>
  <si>
    <t>NA NA; Martin Thibault; Fabrice Brescia; HervÃƒÂ© Jourdan; Eric Vidal</t>
  </si>
  <si>
    <t>New Zealand Journal of Ecology</t>
  </si>
  <si>
    <t>Tiebaghi</t>
  </si>
  <si>
    <t>Northern Province</t>
  </si>
  <si>
    <t>Goro</t>
  </si>
  <si>
    <t>Southern Province</t>
  </si>
  <si>
    <t>doi</t>
  </si>
  <si>
    <t>title</t>
  </si>
  <si>
    <t>authors</t>
  </si>
  <si>
    <t>journal</t>
  </si>
  <si>
    <t>year</t>
  </si>
  <si>
    <t>start_sampling_year</t>
  </si>
  <si>
    <t>end_sampling_year</t>
  </si>
  <si>
    <t>sampling_duration</t>
  </si>
  <si>
    <t>sampling_site</t>
  </si>
  <si>
    <t>sampling_latitude</t>
  </si>
  <si>
    <t>sampling_longitude</t>
  </si>
  <si>
    <t>sampling_city</t>
  </si>
  <si>
    <t>sampling_region</t>
  </si>
  <si>
    <t>sampling_country</t>
  </si>
  <si>
    <t>sampling_continent</t>
  </si>
  <si>
    <t>island</t>
  </si>
  <si>
    <t>ias_abundance_unit</t>
  </si>
  <si>
    <t>experimental</t>
  </si>
  <si>
    <t>habitat</t>
  </si>
  <si>
    <t>kingdom</t>
  </si>
  <si>
    <t>phylum</t>
  </si>
  <si>
    <t>class</t>
  </si>
  <si>
    <t>Group_for_score</t>
  </si>
  <si>
    <t>species</t>
  </si>
  <si>
    <t>doi_clean</t>
  </si>
  <si>
    <t>min_ias_abundance</t>
  </si>
  <si>
    <t>max_ias_abundance</t>
  </si>
  <si>
    <t>avg_ias_abundance</t>
  </si>
  <si>
    <t>study_area</t>
  </si>
  <si>
    <t>area_km2</t>
  </si>
  <si>
    <t>ind_per_km2</t>
  </si>
  <si>
    <t>RS Analamazaotra</t>
  </si>
  <si>
    <t>Settlement Area, Lord Howe Island</t>
  </si>
  <si>
    <t>Eglinton Valley</t>
  </si>
  <si>
    <t>Parc Provincial de la Rivière Bleue (PPRB), Parc Provincial des Grandes Fougères (PPGF), Réserve Spéciale Botanique du Pic Ningua and nearby Mt. Cindoa (PN + MC)</t>
  </si>
  <si>
    <t>Madagascar Littoral Forests</t>
  </si>
  <si>
    <t>Crop Protection</t>
  </si>
  <si>
    <t>4000m2</t>
  </si>
  <si>
    <t>United States of America</t>
  </si>
  <si>
    <t>Toro, Corsica</t>
  </si>
  <si>
    <t>Iquique</t>
  </si>
  <si>
    <t>El Morai</t>
  </si>
  <si>
    <t>Canela Baja</t>
  </si>
  <si>
    <t>La Campana NP</t>
  </si>
  <si>
    <t>Lolol</t>
  </si>
  <si>
    <t>Laguna Torca NR</t>
  </si>
  <si>
    <t>Los Queules NR</t>
  </si>
  <si>
    <t>Cobquecura</t>
  </si>
  <si>
    <t>Concepcion</t>
  </si>
  <si>
    <t>Nongulen NR</t>
  </si>
  <si>
    <t>Puerto Chacabuco</t>
  </si>
  <si>
    <t>Puerto Aysen</t>
  </si>
  <si>
    <t>Pampa del Tamarugal NR</t>
  </si>
  <si>
    <t>Monte Patria</t>
  </si>
  <si>
    <t>Sotaqui</t>
  </si>
  <si>
    <t>Illapel</t>
  </si>
  <si>
    <t>Tiltil</t>
  </si>
  <si>
    <t>Santa Crus</t>
  </si>
  <si>
    <t>Huertos Familiares</t>
  </si>
  <si>
    <t>Quirihue</t>
  </si>
  <si>
    <t>Florida</t>
  </si>
  <si>
    <t>Punta Arenas</t>
  </si>
  <si>
    <t>Santa Cruz</t>
  </si>
  <si>
    <t>Nonguen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</si>
</sst>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F674-3B59-4C91-BB8B-22B1BACB72E4}">
  <dimension ref="A1:AE64"/>
  <sheetViews>
    <sheetView tabSelected="1" workbookViewId="0">
      <selection activeCell="Y39" sqref="Y1:Y1048576"/>
    </sheetView>
  </sheetViews>
  <sheetFormatPr defaultRowHeight="14.4" x14ac:dyDescent="0.3"/>
  <sheetData>
    <row r="1" spans="1:31" x14ac:dyDescent="0.3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251</v>
      </c>
      <c r="R1" s="1" t="s">
        <v>252</v>
      </c>
      <c r="S1" s="1" t="s">
        <v>253</v>
      </c>
      <c r="T1" s="1" t="s">
        <v>242</v>
      </c>
      <c r="U1" s="1" t="s">
        <v>254</v>
      </c>
      <c r="V1" s="1" t="s">
        <v>255</v>
      </c>
      <c r="W1" s="1" t="s">
        <v>256</v>
      </c>
      <c r="X1" s="1" t="s">
        <v>243</v>
      </c>
      <c r="Y1" s="1" t="s">
        <v>244</v>
      </c>
      <c r="Z1" s="1" t="s">
        <v>245</v>
      </c>
      <c r="AA1" s="1" t="s">
        <v>246</v>
      </c>
      <c r="AB1" s="1" t="s">
        <v>247</v>
      </c>
      <c r="AC1" s="1" t="s">
        <v>248</v>
      </c>
      <c r="AD1" s="1" t="s">
        <v>249</v>
      </c>
      <c r="AE1" s="1" t="s">
        <v>250</v>
      </c>
    </row>
    <row r="2" spans="1:31" x14ac:dyDescent="0.3">
      <c r="A2" s="1" t="s">
        <v>0</v>
      </c>
      <c r="B2" s="1" t="s">
        <v>1</v>
      </c>
      <c r="C2" s="1" t="s">
        <v>2</v>
      </c>
      <c r="D2" s="1"/>
      <c r="E2" s="1">
        <v>2010</v>
      </c>
      <c r="F2" s="1">
        <v>2005</v>
      </c>
      <c r="G2" s="1">
        <v>2007</v>
      </c>
      <c r="H2" s="1">
        <v>2</v>
      </c>
      <c r="I2" s="1" t="s">
        <v>3</v>
      </c>
      <c r="J2" s="1">
        <v>34.674722000000003</v>
      </c>
      <c r="K2" s="1">
        <v>134.51944399999999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>
        <v>5</v>
      </c>
      <c r="R2" s="1">
        <v>90</v>
      </c>
      <c r="S2" s="1">
        <f>AVERAGE(Q2:R2)</f>
        <v>47.5</v>
      </c>
      <c r="T2" s="1" t="s">
        <v>9</v>
      </c>
      <c r="U2" s="1">
        <v>49</v>
      </c>
      <c r="V2" s="1">
        <f>U2/100</f>
        <v>0.49</v>
      </c>
      <c r="W2" s="1">
        <f>S2*100</f>
        <v>4750</v>
      </c>
      <c r="X2" s="1"/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0</v>
      </c>
    </row>
    <row r="3" spans="1:31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1993</v>
      </c>
      <c r="F3" s="1">
        <v>1988</v>
      </c>
      <c r="G3" s="1">
        <v>1990</v>
      </c>
      <c r="H3" s="1">
        <v>2</v>
      </c>
      <c r="I3" s="1" t="s">
        <v>257</v>
      </c>
      <c r="J3" s="1">
        <v>-18.9361</v>
      </c>
      <c r="K3" s="1">
        <v>48.4283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8</v>
      </c>
      <c r="Q3" s="1">
        <v>62</v>
      </c>
      <c r="R3" s="1">
        <v>62</v>
      </c>
      <c r="S3" s="1">
        <v>62</v>
      </c>
      <c r="T3" s="1" t="s">
        <v>76</v>
      </c>
      <c r="U3" s="1">
        <v>810</v>
      </c>
      <c r="V3" s="1">
        <f>U3/100</f>
        <v>8.1</v>
      </c>
      <c r="W3" s="1">
        <f>S3/V3</f>
        <v>7.6543209876543212</v>
      </c>
      <c r="X3" s="1"/>
      <c r="Y3" s="1" t="s">
        <v>10</v>
      </c>
      <c r="Z3" s="1" t="s">
        <v>11</v>
      </c>
      <c r="AA3" s="1" t="s">
        <v>12</v>
      </c>
      <c r="AB3" s="1" t="s">
        <v>13</v>
      </c>
      <c r="AC3" s="1" t="s">
        <v>14</v>
      </c>
      <c r="AD3" s="1" t="s">
        <v>15</v>
      </c>
      <c r="AE3" s="1" t="s">
        <v>16</v>
      </c>
    </row>
    <row r="4" spans="1:31" x14ac:dyDescent="0.3">
      <c r="A4" s="1" t="s">
        <v>29</v>
      </c>
      <c r="B4" s="1" t="s">
        <v>30</v>
      </c>
      <c r="C4" s="1" t="s">
        <v>31</v>
      </c>
      <c r="D4" s="1" t="s">
        <v>25</v>
      </c>
      <c r="E4" s="1">
        <v>2009</v>
      </c>
      <c r="F4" s="1">
        <v>2009</v>
      </c>
      <c r="G4" s="1">
        <v>2009</v>
      </c>
      <c r="H4" s="1">
        <v>1</v>
      </c>
      <c r="I4" s="1" t="s">
        <v>32</v>
      </c>
      <c r="J4" s="1">
        <v>-0.75</v>
      </c>
      <c r="K4" s="1">
        <v>-90.332999999999998</v>
      </c>
      <c r="L4" s="1" t="s">
        <v>33</v>
      </c>
      <c r="M4" s="1" t="s">
        <v>34</v>
      </c>
      <c r="N4" s="1" t="s">
        <v>35</v>
      </c>
      <c r="O4" s="1" t="s">
        <v>24</v>
      </c>
      <c r="P4" s="1" t="s">
        <v>8</v>
      </c>
      <c r="Q4" s="1">
        <v>4.8</v>
      </c>
      <c r="R4" s="1">
        <v>4.8</v>
      </c>
      <c r="S4" s="1">
        <v>4.8</v>
      </c>
      <c r="T4" s="1" t="s">
        <v>9</v>
      </c>
      <c r="U4" s="1"/>
      <c r="V4" s="1"/>
      <c r="W4" s="1">
        <f>S4*100</f>
        <v>480</v>
      </c>
      <c r="X4" s="1" t="s">
        <v>36</v>
      </c>
      <c r="Y4" s="1" t="s">
        <v>37</v>
      </c>
      <c r="Z4" s="1" t="s">
        <v>11</v>
      </c>
      <c r="AA4" s="1" t="s">
        <v>12</v>
      </c>
      <c r="AB4" s="1" t="s">
        <v>13</v>
      </c>
      <c r="AC4" s="1" t="s">
        <v>14</v>
      </c>
      <c r="AD4" s="1" t="s">
        <v>15</v>
      </c>
      <c r="AE4" s="1" t="s">
        <v>29</v>
      </c>
    </row>
    <row r="5" spans="1:31" x14ac:dyDescent="0.3">
      <c r="A5" s="1" t="s">
        <v>38</v>
      </c>
      <c r="B5" s="1" t="s">
        <v>39</v>
      </c>
      <c r="C5" s="1" t="s">
        <v>40</v>
      </c>
      <c r="D5" s="1" t="s">
        <v>25</v>
      </c>
      <c r="E5" s="1">
        <v>2010</v>
      </c>
      <c r="F5" s="1">
        <v>2007</v>
      </c>
      <c r="G5" s="1">
        <v>2009</v>
      </c>
      <c r="H5" s="1">
        <v>2</v>
      </c>
      <c r="I5" s="1" t="s">
        <v>41</v>
      </c>
      <c r="J5" s="1">
        <v>21.4417316900151</v>
      </c>
      <c r="K5" s="1">
        <v>-158.15300605869299</v>
      </c>
      <c r="L5" s="1" t="s">
        <v>42</v>
      </c>
      <c r="M5" s="1" t="s">
        <v>43</v>
      </c>
      <c r="N5" s="1" t="s">
        <v>264</v>
      </c>
      <c r="O5" s="1" t="s">
        <v>44</v>
      </c>
      <c r="P5" s="1" t="s">
        <v>8</v>
      </c>
      <c r="Q5" s="1">
        <v>51</v>
      </c>
      <c r="R5" s="1">
        <v>51</v>
      </c>
      <c r="S5" s="1">
        <v>51</v>
      </c>
      <c r="T5" s="1" t="s">
        <v>76</v>
      </c>
      <c r="U5" s="1">
        <v>36</v>
      </c>
      <c r="V5" s="1">
        <f>U5/100</f>
        <v>0.36</v>
      </c>
      <c r="W5" s="1">
        <f>S5/V5</f>
        <v>141.66666666666669</v>
      </c>
      <c r="X5" s="1" t="s">
        <v>36</v>
      </c>
      <c r="Y5" s="1" t="s">
        <v>10</v>
      </c>
      <c r="Z5" s="1" t="s">
        <v>11</v>
      </c>
      <c r="AA5" s="1" t="s">
        <v>12</v>
      </c>
      <c r="AB5" s="1" t="s">
        <v>13</v>
      </c>
      <c r="AC5" s="1" t="s">
        <v>14</v>
      </c>
      <c r="AD5" s="1" t="s">
        <v>15</v>
      </c>
      <c r="AE5" s="1" t="s">
        <v>38</v>
      </c>
    </row>
    <row r="6" spans="1:31" x14ac:dyDescent="0.3">
      <c r="A6" s="1" t="s">
        <v>45</v>
      </c>
      <c r="B6" s="1" t="s">
        <v>46</v>
      </c>
      <c r="C6" s="1" t="s">
        <v>47</v>
      </c>
      <c r="D6" s="1" t="s">
        <v>25</v>
      </c>
      <c r="E6" s="1">
        <v>2012</v>
      </c>
      <c r="F6" s="1">
        <v>2009</v>
      </c>
      <c r="G6" s="1">
        <v>2010</v>
      </c>
      <c r="H6" s="1">
        <v>1</v>
      </c>
      <c r="I6" s="1" t="s">
        <v>48</v>
      </c>
      <c r="J6" s="1">
        <v>21.533000000000001</v>
      </c>
      <c r="K6" s="1">
        <v>-158.18299999999999</v>
      </c>
      <c r="L6" s="1"/>
      <c r="M6" s="1" t="s">
        <v>49</v>
      </c>
      <c r="N6" s="1" t="s">
        <v>264</v>
      </c>
      <c r="O6" s="1" t="s">
        <v>44</v>
      </c>
      <c r="P6" s="1" t="s">
        <v>8</v>
      </c>
      <c r="Q6" s="1"/>
      <c r="R6" s="1"/>
      <c r="S6" s="1">
        <v>9.8000000000000007</v>
      </c>
      <c r="T6" s="1" t="s">
        <v>9</v>
      </c>
      <c r="U6" s="1">
        <v>26</v>
      </c>
      <c r="V6" s="1">
        <f>U6/100</f>
        <v>0.26</v>
      </c>
      <c r="W6" s="1">
        <f>S6*100</f>
        <v>980.00000000000011</v>
      </c>
      <c r="X6" s="1"/>
      <c r="Y6" s="1" t="s">
        <v>10</v>
      </c>
      <c r="Z6" s="1" t="s">
        <v>11</v>
      </c>
      <c r="AA6" s="1" t="s">
        <v>12</v>
      </c>
      <c r="AB6" s="1" t="s">
        <v>13</v>
      </c>
      <c r="AC6" s="1" t="s">
        <v>14</v>
      </c>
      <c r="AD6" s="1" t="s">
        <v>15</v>
      </c>
      <c r="AE6" s="1" t="s">
        <v>45</v>
      </c>
    </row>
    <row r="7" spans="1:31" x14ac:dyDescent="0.3">
      <c r="A7" s="1" t="s">
        <v>50</v>
      </c>
      <c r="B7" s="1" t="s">
        <v>51</v>
      </c>
      <c r="C7" s="1" t="s">
        <v>52</v>
      </c>
      <c r="D7" s="1" t="s">
        <v>25</v>
      </c>
      <c r="E7" s="1">
        <v>2017</v>
      </c>
      <c r="F7" s="1">
        <v>2011</v>
      </c>
      <c r="G7" s="1">
        <v>2012</v>
      </c>
      <c r="H7" s="1">
        <v>1</v>
      </c>
      <c r="I7" s="1" t="s">
        <v>53</v>
      </c>
      <c r="J7" s="1">
        <v>-33.836890113981902</v>
      </c>
      <c r="K7" s="1">
        <v>151.25105338671801</v>
      </c>
      <c r="L7" s="1" t="s">
        <v>54</v>
      </c>
      <c r="M7" s="1" t="s">
        <v>55</v>
      </c>
      <c r="N7" s="1" t="s">
        <v>56</v>
      </c>
      <c r="O7" s="1" t="s">
        <v>27</v>
      </c>
      <c r="P7" s="1" t="s">
        <v>57</v>
      </c>
      <c r="Q7" s="1">
        <f>10.75-1.93</f>
        <v>8.82</v>
      </c>
      <c r="R7" s="1">
        <f>10.75+1.93</f>
        <v>12.68</v>
      </c>
      <c r="S7" s="1">
        <f>AVERAGE(Q7:R7)</f>
        <v>10.75</v>
      </c>
      <c r="T7" s="1" t="s">
        <v>9</v>
      </c>
      <c r="U7" s="1"/>
      <c r="V7" s="1"/>
      <c r="W7" s="1">
        <f>S7*100</f>
        <v>1075</v>
      </c>
      <c r="X7" s="1" t="s">
        <v>36</v>
      </c>
      <c r="Y7" s="1" t="s">
        <v>10</v>
      </c>
      <c r="Z7" s="1" t="s">
        <v>11</v>
      </c>
      <c r="AA7" s="1" t="s">
        <v>12</v>
      </c>
      <c r="AB7" s="1" t="s">
        <v>13</v>
      </c>
      <c r="AC7" s="1" t="s">
        <v>14</v>
      </c>
      <c r="AD7" s="1" t="s">
        <v>15</v>
      </c>
      <c r="AE7" s="1" t="s">
        <v>50</v>
      </c>
    </row>
    <row r="8" spans="1:31" x14ac:dyDescent="0.3">
      <c r="A8" s="1" t="s">
        <v>50</v>
      </c>
      <c r="B8" s="1" t="s">
        <v>51</v>
      </c>
      <c r="C8" s="1" t="s">
        <v>52</v>
      </c>
      <c r="D8" s="1" t="s">
        <v>25</v>
      </c>
      <c r="E8" s="1">
        <v>2017</v>
      </c>
      <c r="F8" s="1">
        <v>2011</v>
      </c>
      <c r="G8" s="1">
        <v>2012</v>
      </c>
      <c r="H8" s="1">
        <v>1</v>
      </c>
      <c r="I8" s="1" t="s">
        <v>53</v>
      </c>
      <c r="J8" s="1">
        <v>-33.850999999999999</v>
      </c>
      <c r="K8" s="1">
        <v>151.245</v>
      </c>
      <c r="L8" s="1" t="s">
        <v>54</v>
      </c>
      <c r="M8" s="1" t="s">
        <v>55</v>
      </c>
      <c r="N8" s="1" t="s">
        <v>56</v>
      </c>
      <c r="O8" s="1" t="s">
        <v>27</v>
      </c>
      <c r="P8" s="1" t="s">
        <v>57</v>
      </c>
      <c r="Q8" s="1">
        <f>1.64-0.7</f>
        <v>0.94</v>
      </c>
      <c r="R8" s="1">
        <f>1.64+0.7</f>
        <v>2.34</v>
      </c>
      <c r="S8" s="1">
        <f>AVERAGE(Q8:R8)</f>
        <v>1.64</v>
      </c>
      <c r="T8" s="1" t="s">
        <v>9</v>
      </c>
      <c r="U8" s="1"/>
      <c r="V8" s="1"/>
      <c r="W8" s="1">
        <f t="shared" ref="W8:W9" si="0">S8*100</f>
        <v>164</v>
      </c>
      <c r="X8" s="1" t="s">
        <v>36</v>
      </c>
      <c r="Y8" s="1" t="s">
        <v>10</v>
      </c>
      <c r="Z8" s="1" t="s">
        <v>11</v>
      </c>
      <c r="AA8" s="1" t="s">
        <v>12</v>
      </c>
      <c r="AB8" s="1" t="s">
        <v>13</v>
      </c>
      <c r="AC8" s="1" t="s">
        <v>14</v>
      </c>
      <c r="AD8" s="1" t="s">
        <v>15</v>
      </c>
      <c r="AE8" s="1" t="s">
        <v>50</v>
      </c>
    </row>
    <row r="9" spans="1:31" x14ac:dyDescent="0.3">
      <c r="A9" s="1" t="s">
        <v>59</v>
      </c>
      <c r="B9" s="1" t="s">
        <v>60</v>
      </c>
      <c r="C9" s="1" t="s">
        <v>61</v>
      </c>
      <c r="D9" s="1" t="s">
        <v>25</v>
      </c>
      <c r="E9" s="1">
        <v>2019</v>
      </c>
      <c r="F9" s="1">
        <v>2017</v>
      </c>
      <c r="G9" s="1">
        <v>2017</v>
      </c>
      <c r="H9" s="1">
        <v>0</v>
      </c>
      <c r="I9" s="1" t="s">
        <v>62</v>
      </c>
      <c r="J9" s="1">
        <v>-33.817</v>
      </c>
      <c r="K9" s="1">
        <v>151.29599999999999</v>
      </c>
      <c r="L9" s="1" t="s">
        <v>54</v>
      </c>
      <c r="M9" s="1" t="s">
        <v>55</v>
      </c>
      <c r="N9" s="1" t="s">
        <v>56</v>
      </c>
      <c r="O9" s="1" t="s">
        <v>56</v>
      </c>
      <c r="P9" s="1" t="s">
        <v>57</v>
      </c>
      <c r="Q9" s="1">
        <v>4</v>
      </c>
      <c r="R9" s="1">
        <v>10</v>
      </c>
      <c r="S9" s="1">
        <f>AVERAGE(Q9:R9)</f>
        <v>7</v>
      </c>
      <c r="T9" s="1" t="s">
        <v>9</v>
      </c>
      <c r="U9" s="1"/>
      <c r="V9" s="1"/>
      <c r="W9" s="1">
        <f t="shared" si="0"/>
        <v>700</v>
      </c>
      <c r="X9" s="1" t="s">
        <v>36</v>
      </c>
      <c r="Y9" s="1" t="s">
        <v>10</v>
      </c>
      <c r="Z9" s="1" t="s">
        <v>11</v>
      </c>
      <c r="AA9" s="1" t="s">
        <v>12</v>
      </c>
      <c r="AB9" s="1" t="s">
        <v>13</v>
      </c>
      <c r="AC9" s="1" t="s">
        <v>14</v>
      </c>
      <c r="AD9" s="1" t="s">
        <v>15</v>
      </c>
      <c r="AE9" s="1" t="s">
        <v>59</v>
      </c>
    </row>
    <row r="10" spans="1:31" x14ac:dyDescent="0.3">
      <c r="A10" s="1" t="s">
        <v>63</v>
      </c>
      <c r="B10" s="1" t="s">
        <v>64</v>
      </c>
      <c r="C10" s="1" t="s">
        <v>65</v>
      </c>
      <c r="D10" s="1" t="s">
        <v>25</v>
      </c>
      <c r="E10" s="1">
        <v>2020</v>
      </c>
      <c r="F10" s="1">
        <v>2017</v>
      </c>
      <c r="G10" s="1">
        <v>2018</v>
      </c>
      <c r="H10" s="1">
        <v>1</v>
      </c>
      <c r="I10" s="1" t="s">
        <v>66</v>
      </c>
      <c r="J10" s="1">
        <v>38.465833000000003</v>
      </c>
      <c r="K10" s="1">
        <v>-28.333333</v>
      </c>
      <c r="L10" s="1"/>
      <c r="M10" s="1" t="s">
        <v>67</v>
      </c>
      <c r="N10" s="1" t="s">
        <v>68</v>
      </c>
      <c r="O10" s="1" t="s">
        <v>58</v>
      </c>
      <c r="P10" s="1" t="s">
        <v>8</v>
      </c>
      <c r="Q10" s="1">
        <v>124</v>
      </c>
      <c r="R10" s="1">
        <v>124</v>
      </c>
      <c r="S10" s="1">
        <v>124</v>
      </c>
      <c r="T10" s="1" t="s">
        <v>76</v>
      </c>
      <c r="U10" s="1"/>
      <c r="V10" s="1">
        <v>445</v>
      </c>
      <c r="W10" s="1">
        <f>S10/V10</f>
        <v>0.27865168539325841</v>
      </c>
      <c r="X10" s="1"/>
      <c r="Y10" s="1" t="s">
        <v>10</v>
      </c>
      <c r="Z10" s="1" t="s">
        <v>11</v>
      </c>
      <c r="AA10" s="1" t="s">
        <v>12</v>
      </c>
      <c r="AB10" s="1" t="s">
        <v>13</v>
      </c>
      <c r="AC10" s="1" t="s">
        <v>14</v>
      </c>
      <c r="AD10" s="1" t="s">
        <v>15</v>
      </c>
      <c r="AE10" s="1" t="s">
        <v>63</v>
      </c>
    </row>
    <row r="11" spans="1:31" x14ac:dyDescent="0.3">
      <c r="A11" s="1" t="s">
        <v>63</v>
      </c>
      <c r="B11" s="1" t="s">
        <v>64</v>
      </c>
      <c r="C11" s="1" t="s">
        <v>65</v>
      </c>
      <c r="D11" s="1" t="s">
        <v>25</v>
      </c>
      <c r="E11" s="1">
        <v>2020</v>
      </c>
      <c r="F11" s="1">
        <v>2017</v>
      </c>
      <c r="G11" s="1">
        <v>2018</v>
      </c>
      <c r="H11" s="1">
        <v>1</v>
      </c>
      <c r="I11" s="1" t="s">
        <v>69</v>
      </c>
      <c r="J11" s="1">
        <v>38.727778000000001</v>
      </c>
      <c r="K11" s="1">
        <v>-27.213332999999999</v>
      </c>
      <c r="L11" s="1"/>
      <c r="M11" s="1" t="s">
        <v>67</v>
      </c>
      <c r="N11" s="1" t="s">
        <v>68</v>
      </c>
      <c r="O11" s="1" t="s">
        <v>58</v>
      </c>
      <c r="P11" s="1" t="s">
        <v>8</v>
      </c>
      <c r="Q11" s="1">
        <v>157</v>
      </c>
      <c r="R11" s="1">
        <v>157</v>
      </c>
      <c r="S11" s="1">
        <v>157</v>
      </c>
      <c r="T11" s="1" t="s">
        <v>76</v>
      </c>
      <c r="U11" s="1"/>
      <c r="V11" s="1">
        <v>400</v>
      </c>
      <c r="W11" s="1">
        <f>S11/V11</f>
        <v>0.39250000000000002</v>
      </c>
      <c r="X11" s="1"/>
      <c r="Y11" s="1" t="s">
        <v>10</v>
      </c>
      <c r="Z11" s="1" t="s">
        <v>11</v>
      </c>
      <c r="AA11" s="1" t="s">
        <v>12</v>
      </c>
      <c r="AB11" s="1" t="s">
        <v>13</v>
      </c>
      <c r="AC11" s="1" t="s">
        <v>14</v>
      </c>
      <c r="AD11" s="1" t="s">
        <v>15</v>
      </c>
      <c r="AE11" s="1" t="s">
        <v>63</v>
      </c>
    </row>
    <row r="12" spans="1:31" x14ac:dyDescent="0.3">
      <c r="A12" s="1" t="s">
        <v>70</v>
      </c>
      <c r="B12" s="1" t="s">
        <v>71</v>
      </c>
      <c r="C12" s="1" t="s">
        <v>72</v>
      </c>
      <c r="D12" s="1" t="s">
        <v>25</v>
      </c>
      <c r="E12" s="1">
        <v>2022</v>
      </c>
      <c r="F12" s="1">
        <v>2018</v>
      </c>
      <c r="G12" s="1">
        <v>2018</v>
      </c>
      <c r="H12" s="1">
        <v>1</v>
      </c>
      <c r="I12" s="1" t="s">
        <v>73</v>
      </c>
      <c r="J12" s="1">
        <v>-38.366999999999997</v>
      </c>
      <c r="K12" s="1">
        <v>-73.918000000000006</v>
      </c>
      <c r="L12" s="1"/>
      <c r="M12" s="1" t="s">
        <v>74</v>
      </c>
      <c r="N12" s="1" t="s">
        <v>75</v>
      </c>
      <c r="O12" s="1" t="s">
        <v>24</v>
      </c>
      <c r="P12" s="1" t="s">
        <v>8</v>
      </c>
      <c r="Q12" s="1">
        <v>10</v>
      </c>
      <c r="R12" s="1">
        <v>10</v>
      </c>
      <c r="S12" s="1">
        <v>10</v>
      </c>
      <c r="T12" s="1" t="s">
        <v>76</v>
      </c>
      <c r="U12" s="1"/>
      <c r="V12" s="1">
        <v>24.2</v>
      </c>
      <c r="W12" s="1">
        <f>S12/V12</f>
        <v>0.41322314049586778</v>
      </c>
      <c r="X12" s="1"/>
      <c r="Y12" s="1" t="s">
        <v>10</v>
      </c>
      <c r="Z12" s="1" t="s">
        <v>11</v>
      </c>
      <c r="AA12" s="1" t="s">
        <v>12</v>
      </c>
      <c r="AB12" s="1" t="s">
        <v>13</v>
      </c>
      <c r="AC12" s="1" t="s">
        <v>14</v>
      </c>
      <c r="AD12" s="1" t="s">
        <v>15</v>
      </c>
      <c r="AE12" s="1" t="s">
        <v>70</v>
      </c>
    </row>
    <row r="13" spans="1:31" x14ac:dyDescent="0.3">
      <c r="A13" s="1" t="s">
        <v>77</v>
      </c>
      <c r="B13" s="1" t="s">
        <v>78</v>
      </c>
      <c r="C13" s="1" t="s">
        <v>79</v>
      </c>
      <c r="D13" s="1" t="s">
        <v>25</v>
      </c>
      <c r="E13" s="1">
        <v>2023</v>
      </c>
      <c r="F13" s="1">
        <v>2019</v>
      </c>
      <c r="G13" s="1">
        <v>2021</v>
      </c>
      <c r="H13" s="1">
        <v>2</v>
      </c>
      <c r="I13" s="1" t="s">
        <v>258</v>
      </c>
      <c r="J13" s="1">
        <v>-31.553999999999998</v>
      </c>
      <c r="K13" s="1">
        <v>159.084</v>
      </c>
      <c r="L13" s="1" t="s">
        <v>80</v>
      </c>
      <c r="M13" s="1" t="s">
        <v>55</v>
      </c>
      <c r="N13" s="1" t="s">
        <v>56</v>
      </c>
      <c r="O13" s="1" t="s">
        <v>27</v>
      </c>
      <c r="P13" s="1" t="s">
        <v>8</v>
      </c>
      <c r="Q13" s="1">
        <v>96</v>
      </c>
      <c r="R13" s="1">
        <v>96</v>
      </c>
      <c r="S13" s="1">
        <v>96</v>
      </c>
      <c r="T13" s="1" t="s">
        <v>76</v>
      </c>
      <c r="U13" s="1">
        <v>190</v>
      </c>
      <c r="V13" s="1">
        <f>U13/100</f>
        <v>1.9</v>
      </c>
      <c r="W13" s="1">
        <f>S13/V13</f>
        <v>50.526315789473685</v>
      </c>
      <c r="X13" s="1"/>
      <c r="Y13" s="1" t="s">
        <v>10</v>
      </c>
      <c r="Z13" s="1" t="s">
        <v>11</v>
      </c>
      <c r="AA13" s="1" t="s">
        <v>12</v>
      </c>
      <c r="AB13" s="1" t="s">
        <v>13</v>
      </c>
      <c r="AC13" s="1" t="s">
        <v>14</v>
      </c>
      <c r="AD13" s="1" t="s">
        <v>15</v>
      </c>
      <c r="AE13" s="1" t="s">
        <v>77</v>
      </c>
    </row>
    <row r="14" spans="1:31" x14ac:dyDescent="0.3">
      <c r="A14" s="1" t="s">
        <v>81</v>
      </c>
      <c r="B14" s="1" t="s">
        <v>82</v>
      </c>
      <c r="C14" s="1" t="s">
        <v>83</v>
      </c>
      <c r="D14" s="1" t="s">
        <v>84</v>
      </c>
      <c r="E14" s="1">
        <v>2017</v>
      </c>
      <c r="F14" s="1">
        <v>1993</v>
      </c>
      <c r="G14" s="1">
        <v>2015</v>
      </c>
      <c r="H14" s="1">
        <v>22</v>
      </c>
      <c r="I14" s="1" t="s">
        <v>259</v>
      </c>
      <c r="J14" s="1">
        <v>-44.966999999999999</v>
      </c>
      <c r="K14" s="1">
        <v>168.017</v>
      </c>
      <c r="L14" s="1"/>
      <c r="M14" s="1" t="s">
        <v>85</v>
      </c>
      <c r="N14" s="1" t="s">
        <v>86</v>
      </c>
      <c r="O14" s="1" t="s">
        <v>27</v>
      </c>
      <c r="P14" s="1" t="s">
        <v>8</v>
      </c>
      <c r="Q14" s="1">
        <v>6.5</v>
      </c>
      <c r="R14" s="1">
        <v>6.5</v>
      </c>
      <c r="S14" s="1">
        <v>6.5</v>
      </c>
      <c r="T14" s="1" t="s">
        <v>9</v>
      </c>
      <c r="U14" s="1">
        <v>3350</v>
      </c>
      <c r="V14" s="1">
        <f>U14/100</f>
        <v>33.5</v>
      </c>
      <c r="W14" s="1">
        <f>S14*100</f>
        <v>650</v>
      </c>
      <c r="X14" s="1"/>
      <c r="Y14" s="1" t="s">
        <v>10</v>
      </c>
      <c r="Z14" s="1" t="s">
        <v>11</v>
      </c>
      <c r="AA14" s="1" t="s">
        <v>12</v>
      </c>
      <c r="AB14" s="1" t="s">
        <v>13</v>
      </c>
      <c r="AC14" s="1" t="s">
        <v>14</v>
      </c>
      <c r="AD14" s="1" t="s">
        <v>15</v>
      </c>
      <c r="AE14" s="1" t="s">
        <v>81</v>
      </c>
    </row>
    <row r="15" spans="1:31" x14ac:dyDescent="0.3">
      <c r="A15" s="1" t="s">
        <v>87</v>
      </c>
      <c r="B15" s="1" t="s">
        <v>88</v>
      </c>
      <c r="C15" s="1" t="s">
        <v>89</v>
      </c>
      <c r="D15" s="1" t="s">
        <v>84</v>
      </c>
      <c r="E15" s="1">
        <v>2023</v>
      </c>
      <c r="F15" s="1">
        <v>2011</v>
      </c>
      <c r="G15" s="1">
        <v>2022</v>
      </c>
      <c r="H15" s="1">
        <v>11</v>
      </c>
      <c r="I15" s="1" t="s">
        <v>260</v>
      </c>
      <c r="J15" s="2">
        <v>-21.845689951833499</v>
      </c>
      <c r="K15" s="1">
        <v>166.28860004595299</v>
      </c>
      <c r="L15" s="1"/>
      <c r="M15" s="1" t="s">
        <v>90</v>
      </c>
      <c r="N15" s="1" t="s">
        <v>26</v>
      </c>
      <c r="O15" s="1" t="s">
        <v>27</v>
      </c>
      <c r="P15" s="1" t="s">
        <v>8</v>
      </c>
      <c r="Q15" s="1">
        <v>602</v>
      </c>
      <c r="R15" s="1">
        <v>602</v>
      </c>
      <c r="S15" s="1">
        <v>602</v>
      </c>
      <c r="T15" s="1" t="s">
        <v>76</v>
      </c>
      <c r="U15" s="1"/>
      <c r="V15" s="1">
        <v>268.60000000000002</v>
      </c>
      <c r="W15" s="1">
        <f>S15/V15</f>
        <v>2.2412509307520474</v>
      </c>
      <c r="X15" s="1"/>
      <c r="Y15" s="1" t="s">
        <v>10</v>
      </c>
      <c r="Z15" s="1" t="s">
        <v>11</v>
      </c>
      <c r="AA15" s="1" t="s">
        <v>12</v>
      </c>
      <c r="AB15" s="1" t="s">
        <v>13</v>
      </c>
      <c r="AC15" s="1" t="s">
        <v>14</v>
      </c>
      <c r="AD15" s="1" t="s">
        <v>15</v>
      </c>
      <c r="AE15" s="1" t="s">
        <v>87</v>
      </c>
    </row>
    <row r="16" spans="1:31" x14ac:dyDescent="0.3">
      <c r="A16" s="1" t="s">
        <v>91</v>
      </c>
      <c r="B16" s="1" t="s">
        <v>92</v>
      </c>
      <c r="C16" s="1" t="s">
        <v>93</v>
      </c>
      <c r="D16" s="1" t="s">
        <v>94</v>
      </c>
      <c r="E16" s="1">
        <v>2015</v>
      </c>
      <c r="F16" s="1">
        <v>2010</v>
      </c>
      <c r="G16" s="1">
        <v>2012</v>
      </c>
      <c r="H16" s="1">
        <v>2</v>
      </c>
      <c r="I16" s="1" t="s">
        <v>95</v>
      </c>
      <c r="J16" s="1">
        <v>39.697499999999998</v>
      </c>
      <c r="K16" s="1">
        <v>-31.105277999999998</v>
      </c>
      <c r="L16" s="1" t="s">
        <v>96</v>
      </c>
      <c r="M16" s="1" t="s">
        <v>67</v>
      </c>
      <c r="N16" s="1" t="s">
        <v>68</v>
      </c>
      <c r="O16" s="1" t="s">
        <v>58</v>
      </c>
      <c r="P16" s="1" t="s">
        <v>8</v>
      </c>
      <c r="Q16" s="1">
        <v>30</v>
      </c>
      <c r="R16" s="1">
        <v>30</v>
      </c>
      <c r="S16" s="1">
        <f>AVERAGE(Q16:R16)</f>
        <v>30</v>
      </c>
      <c r="T16" s="1" t="s">
        <v>97</v>
      </c>
      <c r="U16" s="1" t="s">
        <v>263</v>
      </c>
      <c r="V16" s="1">
        <v>17</v>
      </c>
      <c r="W16" s="1">
        <f>S16/V16</f>
        <v>1.7647058823529411</v>
      </c>
      <c r="X16" s="1"/>
      <c r="Y16" s="1" t="s">
        <v>28</v>
      </c>
      <c r="Z16" s="1" t="s">
        <v>11</v>
      </c>
      <c r="AA16" s="1" t="s">
        <v>12</v>
      </c>
      <c r="AB16" s="1" t="s">
        <v>13</v>
      </c>
      <c r="AC16" s="1" t="s">
        <v>14</v>
      </c>
      <c r="AD16" s="1" t="s">
        <v>15</v>
      </c>
      <c r="AE16" s="1" t="s">
        <v>91</v>
      </c>
    </row>
    <row r="17" spans="1:31" x14ac:dyDescent="0.3">
      <c r="A17" s="1" t="s">
        <v>98</v>
      </c>
      <c r="B17" s="1" t="s">
        <v>99</v>
      </c>
      <c r="C17" s="1" t="s">
        <v>100</v>
      </c>
      <c r="D17" s="1" t="s">
        <v>262</v>
      </c>
      <c r="E17" s="1">
        <v>1997</v>
      </c>
      <c r="F17" s="1">
        <v>1995</v>
      </c>
      <c r="G17" s="1">
        <v>1996</v>
      </c>
      <c r="H17" s="1">
        <v>1</v>
      </c>
      <c r="I17" s="1" t="s">
        <v>101</v>
      </c>
      <c r="J17" s="1">
        <v>-26.65</v>
      </c>
      <c r="K17" s="1">
        <v>153.06700000000001</v>
      </c>
      <c r="L17" s="1" t="s">
        <v>102</v>
      </c>
      <c r="M17" s="1" t="s">
        <v>103</v>
      </c>
      <c r="N17" s="1" t="s">
        <v>56</v>
      </c>
      <c r="O17" s="1" t="s">
        <v>27</v>
      </c>
      <c r="P17" s="1" t="s">
        <v>57</v>
      </c>
      <c r="Q17" s="1">
        <v>696</v>
      </c>
      <c r="R17" s="1">
        <v>696</v>
      </c>
      <c r="S17" s="1">
        <v>696</v>
      </c>
      <c r="T17" s="1" t="s">
        <v>76</v>
      </c>
      <c r="U17" s="1">
        <v>68</v>
      </c>
      <c r="V17" s="1">
        <f>U17/100</f>
        <v>0.68</v>
      </c>
      <c r="W17" s="1">
        <f>S17/V17</f>
        <v>1023.5294117647059</v>
      </c>
      <c r="X17" s="1"/>
      <c r="Y17" s="1" t="s">
        <v>10</v>
      </c>
      <c r="Z17" s="1" t="s">
        <v>11</v>
      </c>
      <c r="AA17" s="1" t="s">
        <v>12</v>
      </c>
      <c r="AB17" s="1" t="s">
        <v>13</v>
      </c>
      <c r="AC17" s="1" t="s">
        <v>14</v>
      </c>
      <c r="AD17" s="1" t="s">
        <v>15</v>
      </c>
      <c r="AE17" s="1" t="s">
        <v>98</v>
      </c>
    </row>
    <row r="18" spans="1:31" x14ac:dyDescent="0.3">
      <c r="A18" s="1" t="s">
        <v>104</v>
      </c>
      <c r="B18" s="1" t="s">
        <v>105</v>
      </c>
      <c r="C18" s="1" t="s">
        <v>106</v>
      </c>
      <c r="D18" s="1" t="s">
        <v>107</v>
      </c>
      <c r="E18" s="1">
        <v>2005</v>
      </c>
      <c r="F18" s="1">
        <v>2002</v>
      </c>
      <c r="G18" s="1">
        <v>2002</v>
      </c>
      <c r="H18" s="1">
        <v>0</v>
      </c>
      <c r="I18" s="1" t="s">
        <v>108</v>
      </c>
      <c r="J18" s="1">
        <v>18.3</v>
      </c>
      <c r="K18" s="1">
        <v>-65.8</v>
      </c>
      <c r="L18" s="1" t="s">
        <v>109</v>
      </c>
      <c r="M18" s="1" t="s">
        <v>110</v>
      </c>
      <c r="N18" s="1" t="s">
        <v>111</v>
      </c>
      <c r="O18" s="1" t="s">
        <v>44</v>
      </c>
      <c r="P18" s="1" t="s">
        <v>8</v>
      </c>
      <c r="Q18" s="1">
        <v>214</v>
      </c>
      <c r="R18" s="1">
        <v>214</v>
      </c>
      <c r="S18" s="1">
        <f>AVERAGE(Q18:R18)</f>
        <v>214</v>
      </c>
      <c r="T18" s="1" t="s">
        <v>76</v>
      </c>
      <c r="U18" s="1">
        <v>3300</v>
      </c>
      <c r="V18" s="1">
        <f>U18/100</f>
        <v>33</v>
      </c>
      <c r="W18" s="1">
        <f>S18/V18</f>
        <v>6.4848484848484844</v>
      </c>
      <c r="X18" s="1"/>
      <c r="Y18" s="1" t="s">
        <v>10</v>
      </c>
      <c r="Z18" s="1" t="s">
        <v>11</v>
      </c>
      <c r="AA18" s="1" t="s">
        <v>12</v>
      </c>
      <c r="AB18" s="1" t="s">
        <v>13</v>
      </c>
      <c r="AC18" s="1" t="s">
        <v>14</v>
      </c>
      <c r="AD18" s="1" t="s">
        <v>15</v>
      </c>
      <c r="AE18" s="1" t="s">
        <v>104</v>
      </c>
    </row>
    <row r="19" spans="1:31" x14ac:dyDescent="0.3">
      <c r="A19" s="1" t="s">
        <v>112</v>
      </c>
      <c r="B19" s="1" t="s">
        <v>113</v>
      </c>
      <c r="C19" s="1" t="s">
        <v>114</v>
      </c>
      <c r="D19" s="1" t="s">
        <v>115</v>
      </c>
      <c r="E19" s="1">
        <v>1996</v>
      </c>
      <c r="F19" s="1">
        <v>1983</v>
      </c>
      <c r="G19" s="1">
        <v>1986</v>
      </c>
      <c r="H19" s="1">
        <v>1</v>
      </c>
      <c r="I19" s="1" t="s">
        <v>116</v>
      </c>
      <c r="J19" s="1">
        <v>-1.2869999999999999</v>
      </c>
      <c r="K19" s="1">
        <v>-90.459000000000003</v>
      </c>
      <c r="L19" s="1"/>
      <c r="M19" s="1" t="s">
        <v>117</v>
      </c>
      <c r="N19" s="1" t="s">
        <v>35</v>
      </c>
      <c r="O19" s="1" t="s">
        <v>24</v>
      </c>
      <c r="P19" s="1" t="s">
        <v>8</v>
      </c>
      <c r="Q19" s="1">
        <f>16+3+19+2+1+4+1+4+1+4</f>
        <v>55</v>
      </c>
      <c r="R19" s="1">
        <v>55</v>
      </c>
      <c r="S19" s="1">
        <f>AVERAGE(Q19:R19)</f>
        <v>55</v>
      </c>
      <c r="T19" s="1" t="s">
        <v>76</v>
      </c>
      <c r="U19" s="1"/>
      <c r="V19" s="1">
        <v>173</v>
      </c>
      <c r="W19" s="1">
        <f>S19/V19</f>
        <v>0.31791907514450868</v>
      </c>
      <c r="X19" s="1"/>
      <c r="Y19" s="1" t="s">
        <v>10</v>
      </c>
      <c r="Z19" s="1" t="s">
        <v>11</v>
      </c>
      <c r="AA19" s="1" t="s">
        <v>12</v>
      </c>
      <c r="AB19" s="1" t="s">
        <v>13</v>
      </c>
      <c r="AC19" s="1" t="s">
        <v>14</v>
      </c>
      <c r="AD19" s="1" t="s">
        <v>15</v>
      </c>
      <c r="AE19" s="1" t="s">
        <v>112</v>
      </c>
    </row>
    <row r="20" spans="1:31" x14ac:dyDescent="0.3">
      <c r="A20" s="1" t="s">
        <v>118</v>
      </c>
      <c r="B20" s="1" t="s">
        <v>119</v>
      </c>
      <c r="C20" s="1" t="s">
        <v>120</v>
      </c>
      <c r="D20" s="1" t="s">
        <v>121</v>
      </c>
      <c r="E20" s="1">
        <v>2001</v>
      </c>
      <c r="F20" s="1">
        <v>1998</v>
      </c>
      <c r="G20" s="1">
        <v>2000</v>
      </c>
      <c r="H20" s="1">
        <v>2</v>
      </c>
      <c r="I20" s="1" t="s">
        <v>261</v>
      </c>
      <c r="J20" s="1">
        <v>-24.955688914731599</v>
      </c>
      <c r="K20" s="1">
        <v>46.996042289347599</v>
      </c>
      <c r="L20" s="1" t="s">
        <v>122</v>
      </c>
      <c r="M20" s="1" t="s">
        <v>123</v>
      </c>
      <c r="N20" s="1" t="s">
        <v>22</v>
      </c>
      <c r="O20" s="1" t="s">
        <v>23</v>
      </c>
      <c r="P20" s="1" t="s">
        <v>8</v>
      </c>
      <c r="Q20" s="1">
        <v>81</v>
      </c>
      <c r="R20" s="1">
        <v>81</v>
      </c>
      <c r="S20" s="1">
        <f>AVERAGE(Q20:R20)</f>
        <v>81</v>
      </c>
      <c r="T20" s="1" t="s">
        <v>76</v>
      </c>
      <c r="U20" s="1">
        <v>453.5</v>
      </c>
      <c r="V20" s="1">
        <f>U20/100</f>
        <v>4.5350000000000001</v>
      </c>
      <c r="W20" s="1">
        <f>S20/V20</f>
        <v>17.861080485115767</v>
      </c>
      <c r="X20" s="1"/>
      <c r="Y20" s="1" t="s">
        <v>10</v>
      </c>
      <c r="Z20" s="1" t="s">
        <v>11</v>
      </c>
      <c r="AA20" s="1" t="s">
        <v>12</v>
      </c>
      <c r="AB20" s="1" t="s">
        <v>13</v>
      </c>
      <c r="AC20" s="1" t="s">
        <v>14</v>
      </c>
      <c r="AD20" s="1" t="s">
        <v>15</v>
      </c>
      <c r="AE20" s="1" t="s">
        <v>118</v>
      </c>
    </row>
    <row r="21" spans="1:31" x14ac:dyDescent="0.3">
      <c r="A21" s="1" t="s">
        <v>124</v>
      </c>
      <c r="B21" s="1" t="s">
        <v>125</v>
      </c>
      <c r="C21" s="1" t="s">
        <v>126</v>
      </c>
      <c r="D21" s="1" t="s">
        <v>121</v>
      </c>
      <c r="E21" s="1">
        <v>2003</v>
      </c>
      <c r="F21" s="1">
        <v>1988</v>
      </c>
      <c r="G21" s="1">
        <v>1997</v>
      </c>
      <c r="H21" s="1">
        <v>9</v>
      </c>
      <c r="I21" s="1" t="s">
        <v>127</v>
      </c>
      <c r="J21" s="1">
        <v>-20.249340510400401</v>
      </c>
      <c r="K21" s="1">
        <v>44.431795667315299</v>
      </c>
      <c r="L21" s="1" t="s">
        <v>128</v>
      </c>
      <c r="M21" s="1" t="s">
        <v>129</v>
      </c>
      <c r="N21" s="1" t="s">
        <v>22</v>
      </c>
      <c r="O21" s="1" t="s">
        <v>23</v>
      </c>
      <c r="P21" s="1" t="s">
        <v>8</v>
      </c>
      <c r="Q21" s="1">
        <v>4067.6590000000001</v>
      </c>
      <c r="R21" s="1">
        <v>4067.6590000000001</v>
      </c>
      <c r="S21" s="1">
        <f>AVERAGE(Q21:R21)</f>
        <v>4067.6590000000001</v>
      </c>
      <c r="T21" s="1" t="s">
        <v>130</v>
      </c>
      <c r="U21" s="1">
        <v>90818.8</v>
      </c>
      <c r="V21" s="1">
        <v>908.18799999999999</v>
      </c>
      <c r="W21" s="1">
        <f>S21/V21</f>
        <v>4.4788733169784232</v>
      </c>
      <c r="X21" s="1"/>
      <c r="Y21" s="1" t="s">
        <v>10</v>
      </c>
      <c r="Z21" s="1" t="s">
        <v>11</v>
      </c>
      <c r="AA21" s="1" t="s">
        <v>12</v>
      </c>
      <c r="AB21" s="1" t="s">
        <v>13</v>
      </c>
      <c r="AC21" s="1" t="s">
        <v>14</v>
      </c>
      <c r="AD21" s="1" t="s">
        <v>15</v>
      </c>
      <c r="AE21" s="1" t="s">
        <v>124</v>
      </c>
    </row>
    <row r="22" spans="1:31" x14ac:dyDescent="0.3">
      <c r="A22" s="1" t="s">
        <v>131</v>
      </c>
      <c r="B22" s="1" t="s">
        <v>132</v>
      </c>
      <c r="C22" s="1" t="s">
        <v>133</v>
      </c>
      <c r="D22" s="1"/>
      <c r="E22" s="1"/>
      <c r="F22" s="1">
        <v>1996</v>
      </c>
      <c r="G22" s="1">
        <v>1996</v>
      </c>
      <c r="H22" s="1">
        <v>0</v>
      </c>
      <c r="I22" s="1" t="s">
        <v>134</v>
      </c>
      <c r="J22" s="1">
        <v>-21.25</v>
      </c>
      <c r="K22" s="1">
        <v>47.426000000000002</v>
      </c>
      <c r="L22" s="1" t="s">
        <v>135</v>
      </c>
      <c r="M22" s="1" t="s">
        <v>136</v>
      </c>
      <c r="N22" s="1" t="s">
        <v>22</v>
      </c>
      <c r="O22" s="1" t="s">
        <v>23</v>
      </c>
      <c r="P22" s="1" t="s">
        <v>8</v>
      </c>
      <c r="Q22" s="1">
        <v>61</v>
      </c>
      <c r="R22" s="1">
        <v>61</v>
      </c>
      <c r="S22" s="1">
        <v>61</v>
      </c>
      <c r="T22" s="1" t="s">
        <v>76</v>
      </c>
      <c r="U22" s="1">
        <v>43500</v>
      </c>
      <c r="V22" s="1">
        <v>908.18799999999999</v>
      </c>
      <c r="W22" s="1">
        <f>S22/V22</f>
        <v>6.7166709976348507E-2</v>
      </c>
      <c r="X22" s="1"/>
      <c r="Y22" s="1" t="s">
        <v>10</v>
      </c>
      <c r="Z22" s="1" t="s">
        <v>11</v>
      </c>
      <c r="AA22" s="1" t="s">
        <v>12</v>
      </c>
      <c r="AB22" s="1" t="s">
        <v>13</v>
      </c>
      <c r="AC22" s="1" t="s">
        <v>14</v>
      </c>
      <c r="AD22" s="1" t="s">
        <v>15</v>
      </c>
      <c r="AE22" s="1" t="s">
        <v>131</v>
      </c>
    </row>
    <row r="23" spans="1:31" x14ac:dyDescent="0.3">
      <c r="A23" s="1" t="s">
        <v>137</v>
      </c>
      <c r="B23" s="1" t="s">
        <v>138</v>
      </c>
      <c r="C23" s="1" t="s">
        <v>139</v>
      </c>
      <c r="D23" s="1" t="s">
        <v>140</v>
      </c>
      <c r="E23" s="1">
        <v>2021</v>
      </c>
      <c r="F23" s="1">
        <v>2019</v>
      </c>
      <c r="G23" s="1">
        <v>2019</v>
      </c>
      <c r="H23" s="1">
        <v>0</v>
      </c>
      <c r="I23" s="1" t="s">
        <v>141</v>
      </c>
      <c r="J23" s="1">
        <v>-12.273</v>
      </c>
      <c r="K23" s="1">
        <v>49.386000000000003</v>
      </c>
      <c r="L23" s="1"/>
      <c r="M23" s="1"/>
      <c r="N23" s="1" t="s">
        <v>22</v>
      </c>
      <c r="O23" s="1" t="s">
        <v>23</v>
      </c>
      <c r="P23" s="1" t="s">
        <v>8</v>
      </c>
      <c r="Q23" s="1">
        <v>9</v>
      </c>
      <c r="R23" s="1">
        <v>9</v>
      </c>
      <c r="S23" s="1">
        <f>AVERAGE(Q23:R23)</f>
        <v>9</v>
      </c>
      <c r="T23" s="1" t="s">
        <v>76</v>
      </c>
      <c r="U23" s="1"/>
      <c r="V23" s="1">
        <v>3.9899999999999998E-2</v>
      </c>
      <c r="W23" s="1">
        <f>S23/V23</f>
        <v>225.5639097744361</v>
      </c>
      <c r="X23" s="1" t="s">
        <v>36</v>
      </c>
      <c r="Y23" s="1" t="s">
        <v>10</v>
      </c>
      <c r="Z23" s="1" t="s">
        <v>11</v>
      </c>
      <c r="AA23" s="1" t="s">
        <v>12</v>
      </c>
      <c r="AB23" s="1" t="s">
        <v>13</v>
      </c>
      <c r="AC23" s="1" t="s">
        <v>14</v>
      </c>
      <c r="AD23" s="1" t="s">
        <v>15</v>
      </c>
      <c r="AE23" s="1" t="s">
        <v>137</v>
      </c>
    </row>
    <row r="24" spans="1:31" x14ac:dyDescent="0.3">
      <c r="A24" s="1" t="s">
        <v>142</v>
      </c>
      <c r="B24" s="1" t="s">
        <v>143</v>
      </c>
      <c r="C24" s="1" t="s">
        <v>52</v>
      </c>
      <c r="D24" s="1" t="s">
        <v>140</v>
      </c>
      <c r="E24" s="1">
        <v>2017</v>
      </c>
      <c r="F24" s="1">
        <v>2012</v>
      </c>
      <c r="G24" s="1">
        <v>2013</v>
      </c>
      <c r="H24" s="1">
        <v>1</v>
      </c>
      <c r="I24" s="1" t="s">
        <v>144</v>
      </c>
      <c r="J24" s="1">
        <v>-33.999999973169601</v>
      </c>
      <c r="K24" s="1">
        <v>150.999989267161</v>
      </c>
      <c r="L24" s="1" t="s">
        <v>54</v>
      </c>
      <c r="M24" s="1"/>
      <c r="N24" s="1" t="s">
        <v>56</v>
      </c>
      <c r="O24" s="1" t="s">
        <v>27</v>
      </c>
      <c r="P24" s="1" t="s">
        <v>57</v>
      </c>
      <c r="Q24" s="1">
        <f>1.73</f>
        <v>1.73</v>
      </c>
      <c r="R24" s="1">
        <f>18.04</f>
        <v>18.04</v>
      </c>
      <c r="S24" s="1">
        <f>AVERAGE(Q24:R24)</f>
        <v>9.8849999999999998</v>
      </c>
      <c r="T24" s="1" t="s">
        <v>9</v>
      </c>
      <c r="U24" s="1">
        <v>8</v>
      </c>
      <c r="V24" s="1">
        <f>U24/100</f>
        <v>0.08</v>
      </c>
      <c r="W24" s="1">
        <f>S24*100</f>
        <v>988.5</v>
      </c>
      <c r="X24" s="1" t="s">
        <v>36</v>
      </c>
      <c r="Y24" s="1" t="s">
        <v>10</v>
      </c>
      <c r="Z24" s="1" t="s">
        <v>11</v>
      </c>
      <c r="AA24" s="1" t="s">
        <v>12</v>
      </c>
      <c r="AB24" s="1" t="s">
        <v>13</v>
      </c>
      <c r="AC24" s="1" t="s">
        <v>14</v>
      </c>
      <c r="AD24" s="1" t="s">
        <v>15</v>
      </c>
      <c r="AE24" s="1" t="s">
        <v>142</v>
      </c>
    </row>
    <row r="25" spans="1:31" x14ac:dyDescent="0.3">
      <c r="A25" s="1" t="s">
        <v>146</v>
      </c>
      <c r="B25" s="1" t="s">
        <v>147</v>
      </c>
      <c r="C25" s="1" t="s">
        <v>148</v>
      </c>
      <c r="D25" s="1"/>
      <c r="E25" s="1"/>
      <c r="F25" s="1"/>
      <c r="G25" s="1"/>
      <c r="H25" s="1"/>
      <c r="I25" s="1" t="s">
        <v>149</v>
      </c>
      <c r="J25" s="1">
        <v>19.82</v>
      </c>
      <c r="K25" s="1">
        <v>-155.46799999999999</v>
      </c>
      <c r="L25" s="1"/>
      <c r="M25" s="1" t="s">
        <v>43</v>
      </c>
      <c r="N25" s="1" t="s">
        <v>264</v>
      </c>
      <c r="O25" s="1" t="s">
        <v>44</v>
      </c>
      <c r="P25" s="1" t="s">
        <v>8</v>
      </c>
      <c r="Q25" s="1">
        <v>0.06</v>
      </c>
      <c r="R25" s="1">
        <v>7.0000000000000007E-2</v>
      </c>
      <c r="S25" s="1">
        <f>AVERAGE(Q25:R25)</f>
        <v>6.5000000000000002E-2</v>
      </c>
      <c r="T25" s="1" t="s">
        <v>9</v>
      </c>
      <c r="U25" s="1">
        <v>700</v>
      </c>
      <c r="V25" s="1">
        <f>U25/100</f>
        <v>7</v>
      </c>
      <c r="W25" s="1">
        <f>S25*100</f>
        <v>6.5</v>
      </c>
      <c r="X25" s="1" t="s">
        <v>36</v>
      </c>
      <c r="Y25" s="1" t="s">
        <v>10</v>
      </c>
      <c r="Z25" s="1" t="s">
        <v>11</v>
      </c>
      <c r="AA25" s="1" t="s">
        <v>12</v>
      </c>
      <c r="AB25" s="1" t="s">
        <v>13</v>
      </c>
      <c r="AC25" s="1" t="s">
        <v>14</v>
      </c>
      <c r="AD25" s="1" t="s">
        <v>15</v>
      </c>
      <c r="AE25" s="1" t="s">
        <v>146</v>
      </c>
    </row>
    <row r="26" spans="1:31" x14ac:dyDescent="0.3">
      <c r="A26" s="1" t="s">
        <v>150</v>
      </c>
      <c r="B26" s="1" t="s">
        <v>151</v>
      </c>
      <c r="C26" s="1" t="s">
        <v>152</v>
      </c>
      <c r="D26" s="1" t="s">
        <v>153</v>
      </c>
      <c r="E26" s="1">
        <v>2000</v>
      </c>
      <c r="F26" s="1">
        <v>1979</v>
      </c>
      <c r="G26" s="1">
        <v>1997</v>
      </c>
      <c r="H26" s="1">
        <v>18</v>
      </c>
      <c r="I26" s="1" t="s">
        <v>265</v>
      </c>
      <c r="J26" s="1">
        <v>42.091537560397398</v>
      </c>
      <c r="K26" s="1">
        <v>9.1072551884650608</v>
      </c>
      <c r="L26" s="1"/>
      <c r="M26" s="1" t="s">
        <v>154</v>
      </c>
      <c r="N26" s="1" t="s">
        <v>155</v>
      </c>
      <c r="O26" s="1" t="s">
        <v>58</v>
      </c>
      <c r="P26" s="1" t="s">
        <v>8</v>
      </c>
      <c r="Q26" s="1"/>
      <c r="R26" s="1"/>
      <c r="S26" s="1">
        <v>50</v>
      </c>
      <c r="T26" s="1" t="s">
        <v>9</v>
      </c>
      <c r="U26" s="1">
        <v>2.6</v>
      </c>
      <c r="V26" s="1">
        <f>U26/100</f>
        <v>2.6000000000000002E-2</v>
      </c>
      <c r="W26" s="1">
        <f>S26*100</f>
        <v>5000</v>
      </c>
      <c r="X26" s="1"/>
      <c r="Y26" s="1" t="s">
        <v>28</v>
      </c>
      <c r="Z26" s="1" t="s">
        <v>11</v>
      </c>
      <c r="AA26" s="1" t="s">
        <v>12</v>
      </c>
      <c r="AB26" s="1" t="s">
        <v>13</v>
      </c>
      <c r="AC26" s="1" t="s">
        <v>14</v>
      </c>
      <c r="AD26" s="1" t="s">
        <v>15</v>
      </c>
      <c r="AE26" s="1" t="s">
        <v>150</v>
      </c>
    </row>
    <row r="27" spans="1:31" x14ac:dyDescent="0.3">
      <c r="A27" s="1" t="s">
        <v>156</v>
      </c>
      <c r="B27" s="1" t="s">
        <v>157</v>
      </c>
      <c r="C27" s="1" t="s">
        <v>158</v>
      </c>
      <c r="D27" s="1" t="s">
        <v>159</v>
      </c>
      <c r="E27" s="1">
        <v>2023</v>
      </c>
      <c r="F27" s="1">
        <v>2017</v>
      </c>
      <c r="G27" s="1">
        <v>2018</v>
      </c>
      <c r="H27" s="1">
        <v>1</v>
      </c>
      <c r="I27" s="1" t="s">
        <v>160</v>
      </c>
      <c r="J27" s="1">
        <v>-10.4866919799576</v>
      </c>
      <c r="K27" s="1">
        <v>105.62620806666401</v>
      </c>
      <c r="L27" s="1"/>
      <c r="M27" s="1" t="s">
        <v>160</v>
      </c>
      <c r="N27" s="1" t="s">
        <v>56</v>
      </c>
      <c r="O27" s="1" t="s">
        <v>27</v>
      </c>
      <c r="P27" s="1" t="s">
        <v>8</v>
      </c>
      <c r="Q27" s="1">
        <v>4.2</v>
      </c>
      <c r="R27" s="1">
        <v>32</v>
      </c>
      <c r="S27" s="1">
        <f>AVERAGE(Q27:R27)</f>
        <v>18.100000000000001</v>
      </c>
      <c r="T27" s="1" t="s">
        <v>9</v>
      </c>
      <c r="U27" s="1"/>
      <c r="V27" s="1">
        <v>135</v>
      </c>
      <c r="W27" s="1">
        <f>S27*100</f>
        <v>1810.0000000000002</v>
      </c>
      <c r="X27" s="1"/>
      <c r="Y27" s="1" t="s">
        <v>10</v>
      </c>
      <c r="Z27" s="1" t="s">
        <v>11</v>
      </c>
      <c r="AA27" s="1" t="s">
        <v>12</v>
      </c>
      <c r="AB27" s="1" t="s">
        <v>13</v>
      </c>
      <c r="AC27" s="1" t="s">
        <v>14</v>
      </c>
      <c r="AD27" s="1" t="s">
        <v>15</v>
      </c>
      <c r="AE27" s="1" t="s">
        <v>156</v>
      </c>
    </row>
    <row r="28" spans="1:31" x14ac:dyDescent="0.3">
      <c r="A28" s="1" t="s">
        <v>161</v>
      </c>
      <c r="B28" s="1" t="s">
        <v>162</v>
      </c>
      <c r="C28" s="1" t="s">
        <v>163</v>
      </c>
      <c r="D28" s="1" t="s">
        <v>164</v>
      </c>
      <c r="E28" s="1">
        <v>2012</v>
      </c>
      <c r="F28" s="1"/>
      <c r="G28" s="1"/>
      <c r="H28" s="1"/>
      <c r="I28" s="1" t="s">
        <v>145</v>
      </c>
      <c r="J28" s="1">
        <v>-33.817580300569503</v>
      </c>
      <c r="K28" s="1">
        <v>151.28969822482401</v>
      </c>
      <c r="L28" s="1" t="s">
        <v>54</v>
      </c>
      <c r="M28" s="1" t="s">
        <v>55</v>
      </c>
      <c r="N28" s="1" t="s">
        <v>56</v>
      </c>
      <c r="O28" s="1" t="s">
        <v>27</v>
      </c>
      <c r="P28" s="1" t="s">
        <v>57</v>
      </c>
      <c r="Q28" s="1">
        <v>25</v>
      </c>
      <c r="R28" s="1">
        <v>25</v>
      </c>
      <c r="S28" s="1">
        <v>25</v>
      </c>
      <c r="T28" s="1" t="s">
        <v>9</v>
      </c>
      <c r="U28" s="1">
        <v>41</v>
      </c>
      <c r="V28" s="1">
        <f>U28/100</f>
        <v>0.41</v>
      </c>
      <c r="W28" s="1">
        <f>S28*100</f>
        <v>2500</v>
      </c>
      <c r="X28" s="1" t="s">
        <v>36</v>
      </c>
      <c r="Y28" s="1" t="s">
        <v>10</v>
      </c>
      <c r="Z28" s="1" t="s">
        <v>11</v>
      </c>
      <c r="AA28" s="1" t="s">
        <v>12</v>
      </c>
      <c r="AB28" s="1" t="s">
        <v>13</v>
      </c>
      <c r="AC28" s="1" t="s">
        <v>14</v>
      </c>
      <c r="AD28" s="1" t="s">
        <v>15</v>
      </c>
      <c r="AE28" s="1" t="s">
        <v>161</v>
      </c>
    </row>
    <row r="29" spans="1:31" ht="15" customHeight="1" x14ac:dyDescent="0.3">
      <c r="A29" s="1" t="s">
        <v>165</v>
      </c>
      <c r="B29" s="1" t="s">
        <v>166</v>
      </c>
      <c r="C29" s="1" t="s">
        <v>167</v>
      </c>
      <c r="D29" s="1" t="s">
        <v>168</v>
      </c>
      <c r="E29" s="1">
        <v>2010</v>
      </c>
      <c r="F29" s="1">
        <v>2006</v>
      </c>
      <c r="G29" s="1">
        <v>2009</v>
      </c>
      <c r="H29" s="1">
        <v>3</v>
      </c>
      <c r="I29" s="1" t="s">
        <v>169</v>
      </c>
      <c r="J29" s="1">
        <v>-0.233354540114217</v>
      </c>
      <c r="K29" s="1">
        <v>-91.383337080878903</v>
      </c>
      <c r="L29" s="1"/>
      <c r="M29" s="1" t="s">
        <v>170</v>
      </c>
      <c r="N29" s="1" t="s">
        <v>35</v>
      </c>
      <c r="O29" s="1" t="s">
        <v>24</v>
      </c>
      <c r="P29" s="1" t="s">
        <v>8</v>
      </c>
      <c r="Q29" s="1">
        <v>20</v>
      </c>
      <c r="R29" s="1">
        <v>28</v>
      </c>
      <c r="S29" s="1">
        <f>AVERAGE(Q29:R29)</f>
        <v>24</v>
      </c>
      <c r="T29" s="1" t="s">
        <v>171</v>
      </c>
      <c r="U29" s="1">
        <v>15</v>
      </c>
      <c r="V29" s="1">
        <f>U29/100</f>
        <v>0.15</v>
      </c>
      <c r="W29" s="1"/>
      <c r="X29" s="1"/>
      <c r="Y29" s="1" t="s">
        <v>10</v>
      </c>
      <c r="Z29" s="1" t="s">
        <v>11</v>
      </c>
      <c r="AA29" s="1" t="s">
        <v>12</v>
      </c>
      <c r="AB29" s="1" t="s">
        <v>13</v>
      </c>
      <c r="AC29" s="1" t="s">
        <v>14</v>
      </c>
      <c r="AD29" s="1" t="s">
        <v>15</v>
      </c>
      <c r="AE29" s="1" t="s">
        <v>165</v>
      </c>
    </row>
    <row r="30" spans="1:31" x14ac:dyDescent="0.3">
      <c r="A30" s="1" t="s">
        <v>172</v>
      </c>
      <c r="B30" s="1" t="s">
        <v>173</v>
      </c>
      <c r="C30" s="1" t="s">
        <v>174</v>
      </c>
      <c r="D30" s="1" t="s">
        <v>175</v>
      </c>
      <c r="E30" s="1">
        <v>2009</v>
      </c>
      <c r="F30" s="1">
        <v>2004</v>
      </c>
      <c r="G30" s="1">
        <v>2006</v>
      </c>
      <c r="H30" s="1">
        <v>2</v>
      </c>
      <c r="I30" s="1" t="s">
        <v>176</v>
      </c>
      <c r="J30" s="1">
        <v>-35.051269050370799</v>
      </c>
      <c r="K30" s="1">
        <v>150.80828932269901</v>
      </c>
      <c r="L30" s="1" t="s">
        <v>177</v>
      </c>
      <c r="M30" s="1" t="s">
        <v>55</v>
      </c>
      <c r="N30" s="1" t="s">
        <v>56</v>
      </c>
      <c r="O30" s="1" t="s">
        <v>56</v>
      </c>
      <c r="P30" s="1" t="s">
        <v>57</v>
      </c>
      <c r="Q30" s="1">
        <v>167</v>
      </c>
      <c r="R30" s="1">
        <v>167</v>
      </c>
      <c r="S30" s="1">
        <v>167</v>
      </c>
      <c r="T30" s="1" t="s">
        <v>76</v>
      </c>
      <c r="U30" s="1">
        <v>10</v>
      </c>
      <c r="V30" s="1">
        <f>U30/100</f>
        <v>0.1</v>
      </c>
      <c r="W30" s="1">
        <f>S30/V30</f>
        <v>1670</v>
      </c>
      <c r="X30" s="1"/>
      <c r="Y30" s="1" t="s">
        <v>10</v>
      </c>
      <c r="Z30" s="1" t="s">
        <v>11</v>
      </c>
      <c r="AA30" s="1" t="s">
        <v>12</v>
      </c>
      <c r="AB30" s="1" t="s">
        <v>13</v>
      </c>
      <c r="AC30" s="1" t="s">
        <v>14</v>
      </c>
      <c r="AD30" s="1" t="s">
        <v>15</v>
      </c>
      <c r="AE30" s="1" t="s">
        <v>172</v>
      </c>
    </row>
    <row r="31" spans="1:31" x14ac:dyDescent="0.3">
      <c r="A31" s="1" t="s">
        <v>178</v>
      </c>
      <c r="B31" s="1" t="s">
        <v>179</v>
      </c>
      <c r="C31" s="1" t="s">
        <v>180</v>
      </c>
      <c r="D31" s="1" t="s">
        <v>181</v>
      </c>
      <c r="E31" s="1">
        <v>1970</v>
      </c>
      <c r="F31" s="1">
        <v>1965</v>
      </c>
      <c r="G31" s="1">
        <v>1968</v>
      </c>
      <c r="H31" s="1">
        <v>3</v>
      </c>
      <c r="I31" s="1" t="s">
        <v>182</v>
      </c>
      <c r="J31" s="1">
        <v>-40.183507312186897</v>
      </c>
      <c r="K31" s="1">
        <v>147.97957337944101</v>
      </c>
      <c r="L31" s="1" t="s">
        <v>183</v>
      </c>
      <c r="M31" s="1" t="s">
        <v>184</v>
      </c>
      <c r="N31" s="1" t="s">
        <v>56</v>
      </c>
      <c r="O31" s="1" t="s">
        <v>27</v>
      </c>
      <c r="P31" s="1" t="s">
        <v>8</v>
      </c>
      <c r="Q31" s="1">
        <v>254</v>
      </c>
      <c r="R31" s="1">
        <v>254</v>
      </c>
      <c r="S31" s="1">
        <f>AVERAGE(Q31:R31)</f>
        <v>254</v>
      </c>
      <c r="T31" s="1" t="s">
        <v>76</v>
      </c>
      <c r="U31" s="1">
        <v>98</v>
      </c>
      <c r="V31" s="1">
        <f>U31/100</f>
        <v>0.98</v>
      </c>
      <c r="W31" s="1">
        <f>S31/V31</f>
        <v>259.18367346938777</v>
      </c>
      <c r="X31" s="1" t="s">
        <v>36</v>
      </c>
      <c r="Y31" s="1" t="s">
        <v>10</v>
      </c>
      <c r="Z31" s="1" t="s">
        <v>11</v>
      </c>
      <c r="AA31" s="1" t="s">
        <v>12</v>
      </c>
      <c r="AB31" s="1" t="s">
        <v>13</v>
      </c>
      <c r="AC31" s="1" t="s">
        <v>14</v>
      </c>
      <c r="AD31" s="1" t="s">
        <v>15</v>
      </c>
      <c r="AE31" s="1" t="s">
        <v>178</v>
      </c>
    </row>
    <row r="32" spans="1:31" x14ac:dyDescent="0.3">
      <c r="A32" s="1" t="s">
        <v>185</v>
      </c>
      <c r="B32" s="1" t="s">
        <v>186</v>
      </c>
      <c r="C32" s="1" t="s">
        <v>187</v>
      </c>
      <c r="D32" s="1" t="s">
        <v>181</v>
      </c>
      <c r="E32" s="1">
        <v>2000</v>
      </c>
      <c r="F32" s="1">
        <v>1997</v>
      </c>
      <c r="G32" s="1">
        <v>1997</v>
      </c>
      <c r="H32" s="1">
        <v>0</v>
      </c>
      <c r="I32" s="1" t="s">
        <v>188</v>
      </c>
      <c r="J32" s="1">
        <v>-18.1499999828639</v>
      </c>
      <c r="K32" s="1">
        <v>47.266677424182802</v>
      </c>
      <c r="L32" s="1" t="s">
        <v>189</v>
      </c>
      <c r="M32" s="1" t="s">
        <v>190</v>
      </c>
      <c r="N32" s="1" t="s">
        <v>22</v>
      </c>
      <c r="O32" s="1" t="s">
        <v>23</v>
      </c>
      <c r="P32" s="1" t="s">
        <v>8</v>
      </c>
      <c r="Q32" s="1">
        <v>86</v>
      </c>
      <c r="R32" s="1">
        <v>86</v>
      </c>
      <c r="S32" s="1">
        <v>86</v>
      </c>
      <c r="T32" s="1" t="s">
        <v>76</v>
      </c>
      <c r="U32" s="1">
        <f>1250+136+30+12+0.64</f>
        <v>1428.64</v>
      </c>
      <c r="V32" s="1">
        <f>U32/100</f>
        <v>14.2864</v>
      </c>
      <c r="W32" s="1">
        <f>S32/V32</f>
        <v>6.0197110538694139</v>
      </c>
      <c r="X32" s="1"/>
      <c r="Y32" s="1" t="s">
        <v>10</v>
      </c>
      <c r="Z32" s="1" t="s">
        <v>11</v>
      </c>
      <c r="AA32" s="1" t="s">
        <v>12</v>
      </c>
      <c r="AB32" s="1" t="s">
        <v>13</v>
      </c>
      <c r="AC32" s="1" t="s">
        <v>14</v>
      </c>
      <c r="AD32" s="1" t="s">
        <v>15</v>
      </c>
      <c r="AE32" s="1" t="s">
        <v>185</v>
      </c>
    </row>
    <row r="33" spans="1:31" x14ac:dyDescent="0.3">
      <c r="A33" s="1" t="s">
        <v>191</v>
      </c>
      <c r="B33" s="1" t="s">
        <v>192</v>
      </c>
      <c r="C33" s="1" t="s">
        <v>193</v>
      </c>
      <c r="D33" s="1" t="s">
        <v>181</v>
      </c>
      <c r="E33" s="1">
        <v>2023</v>
      </c>
      <c r="F33" s="1">
        <v>2013</v>
      </c>
      <c r="G33" s="1">
        <v>2014</v>
      </c>
      <c r="H33" s="1">
        <v>1</v>
      </c>
      <c r="I33" s="1" t="s">
        <v>194</v>
      </c>
      <c r="J33" s="1">
        <v>-1.633</v>
      </c>
      <c r="K33" s="1">
        <v>13.583</v>
      </c>
      <c r="L33" s="1" t="s">
        <v>195</v>
      </c>
      <c r="M33" s="1"/>
      <c r="N33" s="1" t="s">
        <v>196</v>
      </c>
      <c r="O33" s="1" t="s">
        <v>23</v>
      </c>
      <c r="P33" s="1" t="s">
        <v>57</v>
      </c>
      <c r="Q33" s="1">
        <v>155</v>
      </c>
      <c r="R33" s="1">
        <v>155</v>
      </c>
      <c r="S33" s="1">
        <v>155</v>
      </c>
      <c r="T33" s="1" t="s">
        <v>76</v>
      </c>
      <c r="U33" s="1">
        <f>1.5+0.83</f>
        <v>2.33</v>
      </c>
      <c r="V33" s="1">
        <f>U33/100</f>
        <v>2.3300000000000001E-2</v>
      </c>
      <c r="W33" s="1">
        <f>S33/V33</f>
        <v>6652.3605150214589</v>
      </c>
      <c r="X33" s="1"/>
      <c r="Y33" s="1" t="s">
        <v>10</v>
      </c>
      <c r="Z33" s="1" t="s">
        <v>11</v>
      </c>
      <c r="AA33" s="1" t="s">
        <v>12</v>
      </c>
      <c r="AB33" s="1" t="s">
        <v>13</v>
      </c>
      <c r="AC33" s="1" t="s">
        <v>14</v>
      </c>
      <c r="AD33" s="1" t="s">
        <v>15</v>
      </c>
      <c r="AE33" s="1" t="s">
        <v>191</v>
      </c>
    </row>
    <row r="34" spans="1:31" x14ac:dyDescent="0.3">
      <c r="A34" s="1" t="s">
        <v>197</v>
      </c>
      <c r="B34" s="1" t="s">
        <v>198</v>
      </c>
      <c r="C34" s="1" t="s">
        <v>199</v>
      </c>
      <c r="D34" s="1" t="s">
        <v>200</v>
      </c>
      <c r="E34" s="1">
        <v>2024</v>
      </c>
      <c r="F34" s="1">
        <v>2016</v>
      </c>
      <c r="G34" s="1">
        <v>2018</v>
      </c>
      <c r="H34" s="1">
        <v>2</v>
      </c>
      <c r="I34" s="1" t="s">
        <v>266</v>
      </c>
      <c r="J34" s="1">
        <v>-20.216667000000001</v>
      </c>
      <c r="K34" s="1">
        <v>-70.150000000000006</v>
      </c>
      <c r="L34" s="1" t="s">
        <v>266</v>
      </c>
      <c r="M34" s="1"/>
      <c r="N34" s="1" t="s">
        <v>75</v>
      </c>
      <c r="O34" s="1" t="s">
        <v>24</v>
      </c>
      <c r="P34" s="1"/>
      <c r="Q34" s="1">
        <v>2</v>
      </c>
      <c r="R34" s="1">
        <v>2</v>
      </c>
      <c r="S34" s="1">
        <v>2</v>
      </c>
      <c r="T34" s="1" t="s">
        <v>76</v>
      </c>
      <c r="U34" s="1"/>
      <c r="V34" s="1">
        <v>8.0000000000000016E-2</v>
      </c>
      <c r="W34" s="1">
        <f>S34/V34</f>
        <v>24.999999999999996</v>
      </c>
      <c r="X34" s="1"/>
      <c r="Y34" s="1" t="s">
        <v>10</v>
      </c>
      <c r="Z34" s="1" t="s">
        <v>11</v>
      </c>
      <c r="AA34" s="1" t="s">
        <v>12</v>
      </c>
      <c r="AB34" s="1" t="s">
        <v>13</v>
      </c>
      <c r="AC34" s="1" t="s">
        <v>14</v>
      </c>
      <c r="AD34" s="1" t="s">
        <v>15</v>
      </c>
      <c r="AE34" s="1" t="s">
        <v>197</v>
      </c>
    </row>
    <row r="35" spans="1:31" x14ac:dyDescent="0.3">
      <c r="A35" s="1" t="s">
        <v>197</v>
      </c>
      <c r="B35" s="1" t="s">
        <v>198</v>
      </c>
      <c r="C35" s="1" t="s">
        <v>199</v>
      </c>
      <c r="D35" s="1" t="s">
        <v>200</v>
      </c>
      <c r="E35" s="1">
        <v>2024</v>
      </c>
      <c r="F35" s="1">
        <v>2016</v>
      </c>
      <c r="G35" s="1">
        <v>2018</v>
      </c>
      <c r="H35" s="1">
        <v>2</v>
      </c>
      <c r="I35" s="1" t="s">
        <v>278</v>
      </c>
      <c r="J35" s="1">
        <v>-20.472200000000001</v>
      </c>
      <c r="K35" s="1">
        <v>-69.673299999999998</v>
      </c>
      <c r="L35" s="1" t="s">
        <v>278</v>
      </c>
      <c r="M35" s="1"/>
      <c r="N35" s="1" t="s">
        <v>75</v>
      </c>
      <c r="O35" s="1" t="s">
        <v>24</v>
      </c>
      <c r="P35" s="1"/>
      <c r="Q35" s="1">
        <v>10</v>
      </c>
      <c r="R35" s="1">
        <v>10</v>
      </c>
      <c r="S35" s="1">
        <v>10</v>
      </c>
      <c r="T35" s="1" t="s">
        <v>76</v>
      </c>
      <c r="U35" s="1"/>
      <c r="V35" s="1">
        <v>8.0000000000000016E-2</v>
      </c>
      <c r="W35" s="1">
        <f t="shared" ref="W35:W58" si="1">S35/V35</f>
        <v>124.99999999999997</v>
      </c>
      <c r="X35" s="1"/>
      <c r="Y35" s="1" t="s">
        <v>10</v>
      </c>
      <c r="Z35" s="1" t="s">
        <v>11</v>
      </c>
      <c r="AA35" s="1" t="s">
        <v>12</v>
      </c>
      <c r="AB35" s="1" t="s">
        <v>13</v>
      </c>
      <c r="AC35" s="1" t="s">
        <v>14</v>
      </c>
      <c r="AD35" s="1" t="s">
        <v>15</v>
      </c>
      <c r="AE35" s="1" t="s">
        <v>197</v>
      </c>
    </row>
    <row r="36" spans="1:31" x14ac:dyDescent="0.3">
      <c r="A36" s="1" t="s">
        <v>197</v>
      </c>
      <c r="B36" s="1" t="s">
        <v>198</v>
      </c>
      <c r="C36" s="1" t="s">
        <v>199</v>
      </c>
      <c r="D36" s="1" t="s">
        <v>200</v>
      </c>
      <c r="E36" s="1">
        <v>2024</v>
      </c>
      <c r="F36" s="1">
        <v>2016</v>
      </c>
      <c r="G36" s="1">
        <v>2018</v>
      </c>
      <c r="H36" s="1">
        <v>2</v>
      </c>
      <c r="I36" s="1" t="s">
        <v>267</v>
      </c>
      <c r="J36" s="1">
        <v>-30.5329685317414</v>
      </c>
      <c r="K36" s="1">
        <v>-71.617200475064394</v>
      </c>
      <c r="L36" s="1" t="s">
        <v>267</v>
      </c>
      <c r="M36" s="1"/>
      <c r="N36" s="1" t="s">
        <v>75</v>
      </c>
      <c r="O36" s="1" t="s">
        <v>24</v>
      </c>
      <c r="P36" s="1"/>
      <c r="Q36" s="1">
        <v>8</v>
      </c>
      <c r="R36" s="1">
        <v>8</v>
      </c>
      <c r="S36" s="1">
        <v>8</v>
      </c>
      <c r="T36" s="1" t="s">
        <v>76</v>
      </c>
      <c r="U36" s="1"/>
      <c r="V36" s="1">
        <v>8.0000000000000016E-2</v>
      </c>
      <c r="W36" s="1">
        <f t="shared" si="1"/>
        <v>99.999999999999986</v>
      </c>
      <c r="X36" s="1"/>
      <c r="Y36" s="1" t="s">
        <v>10</v>
      </c>
      <c r="Z36" s="1" t="s">
        <v>11</v>
      </c>
      <c r="AA36" s="1" t="s">
        <v>12</v>
      </c>
      <c r="AB36" s="1" t="s">
        <v>13</v>
      </c>
      <c r="AC36" s="1" t="s">
        <v>14</v>
      </c>
      <c r="AD36" s="1" t="s">
        <v>15</v>
      </c>
      <c r="AE36" s="1" t="s">
        <v>197</v>
      </c>
    </row>
    <row r="37" spans="1:31" x14ac:dyDescent="0.3">
      <c r="A37" s="1" t="s">
        <v>197</v>
      </c>
      <c r="B37" s="1" t="s">
        <v>198</v>
      </c>
      <c r="C37" s="1" t="s">
        <v>199</v>
      </c>
      <c r="D37" s="1" t="s">
        <v>200</v>
      </c>
      <c r="E37" s="1">
        <v>2024</v>
      </c>
      <c r="F37" s="1">
        <v>2016</v>
      </c>
      <c r="G37" s="1">
        <v>2018</v>
      </c>
      <c r="H37" s="1">
        <v>2</v>
      </c>
      <c r="I37" s="1" t="s">
        <v>279</v>
      </c>
      <c r="J37" s="1">
        <v>-30.833333</v>
      </c>
      <c r="K37" s="1">
        <v>-70.7</v>
      </c>
      <c r="L37" s="1" t="s">
        <v>279</v>
      </c>
      <c r="M37" s="1"/>
      <c r="N37" s="1" t="s">
        <v>75</v>
      </c>
      <c r="O37" s="1" t="s">
        <v>24</v>
      </c>
      <c r="P37" s="1"/>
      <c r="Q37" s="1">
        <v>13</v>
      </c>
      <c r="R37" s="1">
        <v>13</v>
      </c>
      <c r="S37" s="1">
        <v>13</v>
      </c>
      <c r="T37" s="1" t="s">
        <v>76</v>
      </c>
      <c r="U37" s="1"/>
      <c r="V37" s="1">
        <v>8.0000000000000016E-2</v>
      </c>
      <c r="W37" s="1">
        <f t="shared" si="1"/>
        <v>162.49999999999997</v>
      </c>
      <c r="X37" s="1"/>
      <c r="Y37" s="1" t="s">
        <v>10</v>
      </c>
      <c r="Z37" s="1" t="s">
        <v>11</v>
      </c>
      <c r="AA37" s="1" t="s">
        <v>12</v>
      </c>
      <c r="AB37" s="1" t="s">
        <v>13</v>
      </c>
      <c r="AC37" s="1" t="s">
        <v>14</v>
      </c>
      <c r="AD37" s="1" t="s">
        <v>15</v>
      </c>
      <c r="AE37" s="1" t="s">
        <v>197</v>
      </c>
    </row>
    <row r="38" spans="1:31" x14ac:dyDescent="0.3">
      <c r="A38" s="1" t="s">
        <v>197</v>
      </c>
      <c r="B38" s="1" t="s">
        <v>198</v>
      </c>
      <c r="C38" s="1" t="s">
        <v>199</v>
      </c>
      <c r="D38" s="1" t="s">
        <v>200</v>
      </c>
      <c r="E38" s="1">
        <v>2024</v>
      </c>
      <c r="F38" s="1">
        <v>2016</v>
      </c>
      <c r="G38" s="1">
        <v>2018</v>
      </c>
      <c r="H38" s="1">
        <v>2</v>
      </c>
      <c r="I38" s="1" t="s">
        <v>280</v>
      </c>
      <c r="J38" s="1">
        <v>-30.636265293651501</v>
      </c>
      <c r="K38" s="1">
        <v>-71.117390835919394</v>
      </c>
      <c r="L38" s="1" t="s">
        <v>280</v>
      </c>
      <c r="M38" s="1"/>
      <c r="N38" s="1" t="s">
        <v>75</v>
      </c>
      <c r="O38" s="1" t="s">
        <v>24</v>
      </c>
      <c r="P38" s="1"/>
      <c r="Q38" s="1">
        <v>14</v>
      </c>
      <c r="R38" s="1">
        <v>14</v>
      </c>
      <c r="S38" s="1">
        <v>14</v>
      </c>
      <c r="T38" s="1" t="s">
        <v>76</v>
      </c>
      <c r="U38" s="1"/>
      <c r="V38" s="1">
        <v>8.0000000000000016E-2</v>
      </c>
      <c r="W38" s="1">
        <f t="shared" si="1"/>
        <v>174.99999999999997</v>
      </c>
      <c r="X38" s="1"/>
      <c r="Y38" s="1" t="s">
        <v>10</v>
      </c>
      <c r="Z38" s="1" t="s">
        <v>11</v>
      </c>
      <c r="AA38" s="1" t="s">
        <v>12</v>
      </c>
      <c r="AB38" s="1" t="s">
        <v>13</v>
      </c>
      <c r="AC38" s="1" t="s">
        <v>14</v>
      </c>
      <c r="AD38" s="1" t="s">
        <v>15</v>
      </c>
      <c r="AE38" s="1" t="s">
        <v>197</v>
      </c>
    </row>
    <row r="39" spans="1:31" x14ac:dyDescent="0.3">
      <c r="A39" s="1" t="s">
        <v>197</v>
      </c>
      <c r="B39" s="1" t="s">
        <v>198</v>
      </c>
      <c r="C39" s="1" t="s">
        <v>199</v>
      </c>
      <c r="D39" s="1" t="s">
        <v>200</v>
      </c>
      <c r="E39" s="1">
        <v>2024</v>
      </c>
      <c r="F39" s="1">
        <v>2016</v>
      </c>
      <c r="G39" s="1">
        <v>2018</v>
      </c>
      <c r="H39" s="1">
        <v>2</v>
      </c>
      <c r="I39" s="1" t="s">
        <v>268</v>
      </c>
      <c r="J39" s="1">
        <v>-31.398419000000001</v>
      </c>
      <c r="K39" s="1">
        <v>-71.457575000000006</v>
      </c>
      <c r="L39" s="1" t="s">
        <v>268</v>
      </c>
      <c r="M39" s="1"/>
      <c r="N39" s="1" t="s">
        <v>75</v>
      </c>
      <c r="O39" s="1" t="s">
        <v>24</v>
      </c>
      <c r="P39" s="1"/>
      <c r="Q39" s="1">
        <v>6</v>
      </c>
      <c r="R39" s="1">
        <v>6</v>
      </c>
      <c r="S39" s="1">
        <v>6</v>
      </c>
      <c r="T39" s="1" t="s">
        <v>76</v>
      </c>
      <c r="U39" s="1"/>
      <c r="V39" s="1">
        <v>8.0000000000000016E-2</v>
      </c>
      <c r="W39" s="1">
        <f t="shared" si="1"/>
        <v>74.999999999999986</v>
      </c>
      <c r="X39" s="1"/>
      <c r="Y39" s="1" t="s">
        <v>10</v>
      </c>
      <c r="Z39" s="1" t="s">
        <v>11</v>
      </c>
      <c r="AA39" s="1" t="s">
        <v>12</v>
      </c>
      <c r="AB39" s="1" t="s">
        <v>13</v>
      </c>
      <c r="AC39" s="1" t="s">
        <v>14</v>
      </c>
      <c r="AD39" s="1" t="s">
        <v>15</v>
      </c>
      <c r="AE39" s="1" t="s">
        <v>197</v>
      </c>
    </row>
    <row r="40" spans="1:31" x14ac:dyDescent="0.3">
      <c r="A40" s="1" t="s">
        <v>197</v>
      </c>
      <c r="B40" s="1" t="s">
        <v>198</v>
      </c>
      <c r="C40" s="1" t="s">
        <v>199</v>
      </c>
      <c r="D40" s="1" t="s">
        <v>200</v>
      </c>
      <c r="E40" s="1">
        <v>2024</v>
      </c>
      <c r="F40" s="1">
        <v>2016</v>
      </c>
      <c r="G40" s="1">
        <v>2018</v>
      </c>
      <c r="H40" s="1">
        <v>2</v>
      </c>
      <c r="I40" s="1" t="s">
        <v>281</v>
      </c>
      <c r="J40" s="1">
        <v>-31.633333</v>
      </c>
      <c r="K40" s="1">
        <v>-71.166667000000004</v>
      </c>
      <c r="L40" s="1" t="s">
        <v>281</v>
      </c>
      <c r="M40" s="1"/>
      <c r="N40" s="1" t="s">
        <v>75</v>
      </c>
      <c r="O40" s="1" t="s">
        <v>24</v>
      </c>
      <c r="P40" s="1"/>
      <c r="Q40" s="1">
        <v>17</v>
      </c>
      <c r="R40" s="1">
        <v>17</v>
      </c>
      <c r="S40" s="1">
        <v>17</v>
      </c>
      <c r="T40" s="1" t="s">
        <v>76</v>
      </c>
      <c r="U40" s="1"/>
      <c r="V40" s="1">
        <v>8.0000000000000016E-2</v>
      </c>
      <c r="W40" s="1">
        <f t="shared" si="1"/>
        <v>212.49999999999997</v>
      </c>
      <c r="X40" s="1"/>
      <c r="Y40" s="1" t="s">
        <v>10</v>
      </c>
      <c r="Z40" s="1" t="s">
        <v>11</v>
      </c>
      <c r="AA40" s="1" t="s">
        <v>12</v>
      </c>
      <c r="AB40" s="1" t="s">
        <v>13</v>
      </c>
      <c r="AC40" s="1" t="s">
        <v>14</v>
      </c>
      <c r="AD40" s="1" t="s">
        <v>15</v>
      </c>
      <c r="AE40" s="1" t="s">
        <v>197</v>
      </c>
    </row>
    <row r="41" spans="1:31" x14ac:dyDescent="0.3">
      <c r="A41" s="1" t="s">
        <v>197</v>
      </c>
      <c r="B41" s="1" t="s">
        <v>198</v>
      </c>
      <c r="C41" s="1" t="s">
        <v>199</v>
      </c>
      <c r="D41" s="1" t="s">
        <v>200</v>
      </c>
      <c r="E41" s="1">
        <v>2024</v>
      </c>
      <c r="F41" s="1">
        <v>2016</v>
      </c>
      <c r="G41" s="1">
        <v>2018</v>
      </c>
      <c r="H41" s="1">
        <v>2</v>
      </c>
      <c r="I41" s="1" t="s">
        <v>282</v>
      </c>
      <c r="J41" s="1">
        <v>-33.081667000000003</v>
      </c>
      <c r="K41" s="1">
        <v>-70.927778000000004</v>
      </c>
      <c r="L41" s="1" t="s">
        <v>282</v>
      </c>
      <c r="M41" s="1"/>
      <c r="N41" s="1" t="s">
        <v>75</v>
      </c>
      <c r="O41" s="1" t="s">
        <v>24</v>
      </c>
      <c r="P41" s="1"/>
      <c r="Q41" s="1">
        <v>3</v>
      </c>
      <c r="R41" s="1">
        <v>3</v>
      </c>
      <c r="S41" s="1">
        <v>3</v>
      </c>
      <c r="T41" s="1" t="s">
        <v>76</v>
      </c>
      <c r="U41" s="1"/>
      <c r="V41" s="1">
        <v>8.0000000000000016E-2</v>
      </c>
      <c r="W41" s="1">
        <f t="shared" si="1"/>
        <v>37.499999999999993</v>
      </c>
      <c r="X41" s="1"/>
      <c r="Y41" s="1" t="s">
        <v>10</v>
      </c>
      <c r="Z41" s="1" t="s">
        <v>11</v>
      </c>
      <c r="AA41" s="1" t="s">
        <v>12</v>
      </c>
      <c r="AB41" s="1" t="s">
        <v>13</v>
      </c>
      <c r="AC41" s="1" t="s">
        <v>14</v>
      </c>
      <c r="AD41" s="1" t="s">
        <v>15</v>
      </c>
      <c r="AE41" s="1" t="s">
        <v>197</v>
      </c>
    </row>
    <row r="42" spans="1:31" x14ac:dyDescent="0.3">
      <c r="A42" s="1" t="s">
        <v>197</v>
      </c>
      <c r="B42" s="1" t="s">
        <v>198</v>
      </c>
      <c r="C42" s="1" t="s">
        <v>199</v>
      </c>
      <c r="D42" s="1" t="s">
        <v>200</v>
      </c>
      <c r="E42" s="1">
        <v>2024</v>
      </c>
      <c r="F42" s="1">
        <v>2016</v>
      </c>
      <c r="G42" s="1">
        <v>2018</v>
      </c>
      <c r="H42" s="1">
        <v>2</v>
      </c>
      <c r="I42" s="1" t="s">
        <v>269</v>
      </c>
      <c r="J42" s="1">
        <v>-32.966667000000001</v>
      </c>
      <c r="K42" s="1">
        <v>-71.083332999999996</v>
      </c>
      <c r="L42" s="1" t="s">
        <v>269</v>
      </c>
      <c r="M42" s="1"/>
      <c r="N42" s="1" t="s">
        <v>75</v>
      </c>
      <c r="O42" s="1" t="s">
        <v>24</v>
      </c>
      <c r="P42" s="1"/>
      <c r="Q42" s="1">
        <v>22</v>
      </c>
      <c r="R42" s="1">
        <v>22</v>
      </c>
      <c r="S42" s="1">
        <v>22</v>
      </c>
      <c r="T42" s="1" t="s">
        <v>76</v>
      </c>
      <c r="U42" s="1"/>
      <c r="V42" s="1">
        <v>8.0000000000000016E-2</v>
      </c>
      <c r="W42" s="1">
        <f t="shared" si="1"/>
        <v>274.99999999999994</v>
      </c>
      <c r="X42" s="1"/>
      <c r="Y42" s="1" t="s">
        <v>10</v>
      </c>
      <c r="Z42" s="1" t="s">
        <v>11</v>
      </c>
      <c r="AA42" s="1" t="s">
        <v>12</v>
      </c>
      <c r="AB42" s="1" t="s">
        <v>13</v>
      </c>
      <c r="AC42" s="1" t="s">
        <v>14</v>
      </c>
      <c r="AD42" s="1" t="s">
        <v>15</v>
      </c>
      <c r="AE42" s="1" t="s">
        <v>197</v>
      </c>
    </row>
    <row r="43" spans="1:31" x14ac:dyDescent="0.3">
      <c r="A43" s="1" t="s">
        <v>197</v>
      </c>
      <c r="B43" s="1" t="s">
        <v>198</v>
      </c>
      <c r="C43" s="1" t="s">
        <v>199</v>
      </c>
      <c r="D43" s="1" t="s">
        <v>200</v>
      </c>
      <c r="E43" s="1">
        <v>2024</v>
      </c>
      <c r="F43" s="1">
        <v>2016</v>
      </c>
      <c r="G43" s="1">
        <v>2018</v>
      </c>
      <c r="H43" s="1">
        <v>2</v>
      </c>
      <c r="I43" s="1" t="s">
        <v>284</v>
      </c>
      <c r="J43" s="1">
        <v>-33.1274550854789</v>
      </c>
      <c r="K43" s="1">
        <v>-70.797790268389903</v>
      </c>
      <c r="L43" s="1" t="s">
        <v>284</v>
      </c>
      <c r="M43" s="1"/>
      <c r="N43" s="1" t="s">
        <v>75</v>
      </c>
      <c r="O43" s="1" t="s">
        <v>24</v>
      </c>
      <c r="P43" s="1"/>
      <c r="Q43" s="1">
        <v>2</v>
      </c>
      <c r="R43" s="1">
        <v>2</v>
      </c>
      <c r="S43" s="1">
        <v>2</v>
      </c>
      <c r="T43" s="1" t="s">
        <v>76</v>
      </c>
      <c r="U43" s="1"/>
      <c r="V43" s="1">
        <v>8.0000000000000016E-2</v>
      </c>
      <c r="W43" s="1">
        <f t="shared" si="1"/>
        <v>24.999999999999996</v>
      </c>
      <c r="X43" s="1"/>
      <c r="Y43" s="1" t="s">
        <v>10</v>
      </c>
      <c r="Z43" s="1" t="s">
        <v>11</v>
      </c>
      <c r="AA43" s="1" t="s">
        <v>12</v>
      </c>
      <c r="AB43" s="1" t="s">
        <v>13</v>
      </c>
      <c r="AC43" s="1" t="s">
        <v>14</v>
      </c>
      <c r="AD43" s="1" t="s">
        <v>15</v>
      </c>
      <c r="AE43" s="1" t="s">
        <v>197</v>
      </c>
    </row>
    <row r="44" spans="1:31" x14ac:dyDescent="0.3">
      <c r="A44" s="1" t="s">
        <v>197</v>
      </c>
      <c r="B44" s="1" t="s">
        <v>198</v>
      </c>
      <c r="C44" s="1" t="s">
        <v>199</v>
      </c>
      <c r="D44" s="1" t="s">
        <v>200</v>
      </c>
      <c r="E44" s="1">
        <v>2024</v>
      </c>
      <c r="F44" s="1">
        <v>2016</v>
      </c>
      <c r="G44" s="1">
        <v>2018</v>
      </c>
      <c r="H44" s="1">
        <v>2</v>
      </c>
      <c r="I44" s="1" t="s">
        <v>288</v>
      </c>
      <c r="J44" s="1">
        <v>-34.637222000000001</v>
      </c>
      <c r="K44" s="1">
        <v>-71.363056</v>
      </c>
      <c r="L44" s="1" t="s">
        <v>283</v>
      </c>
      <c r="M44" s="1"/>
      <c r="N44" s="1" t="s">
        <v>75</v>
      </c>
      <c r="O44" s="1" t="s">
        <v>24</v>
      </c>
      <c r="P44" s="1"/>
      <c r="Q44" s="1">
        <v>5</v>
      </c>
      <c r="R44" s="1">
        <v>5</v>
      </c>
      <c r="S44" s="1">
        <v>5</v>
      </c>
      <c r="T44" s="1" t="s">
        <v>76</v>
      </c>
      <c r="U44" s="1"/>
      <c r="V44" s="1">
        <v>8.0000000000000016E-2</v>
      </c>
      <c r="W44" s="1">
        <f t="shared" si="1"/>
        <v>62.499999999999986</v>
      </c>
      <c r="X44" s="1"/>
      <c r="Y44" s="1" t="s">
        <v>10</v>
      </c>
      <c r="Z44" s="1" t="s">
        <v>11</v>
      </c>
      <c r="AA44" s="1" t="s">
        <v>12</v>
      </c>
      <c r="AB44" s="1" t="s">
        <v>13</v>
      </c>
      <c r="AC44" s="1" t="s">
        <v>14</v>
      </c>
      <c r="AD44" s="1" t="s">
        <v>15</v>
      </c>
      <c r="AE44" s="1" t="s">
        <v>197</v>
      </c>
    </row>
    <row r="45" spans="1:31" x14ac:dyDescent="0.3">
      <c r="A45" s="1" t="s">
        <v>197</v>
      </c>
      <c r="B45" s="1" t="s">
        <v>198</v>
      </c>
      <c r="C45" s="1" t="s">
        <v>199</v>
      </c>
      <c r="D45" s="1" t="s">
        <v>200</v>
      </c>
      <c r="E45" s="1">
        <v>2024</v>
      </c>
      <c r="F45" s="1">
        <v>2016</v>
      </c>
      <c r="G45" s="1">
        <v>2018</v>
      </c>
      <c r="H45" s="1">
        <v>2</v>
      </c>
      <c r="I45" s="1" t="s">
        <v>270</v>
      </c>
      <c r="J45" s="1">
        <v>-34.726111000000003</v>
      </c>
      <c r="K45" s="1">
        <v>-71.644722000000002</v>
      </c>
      <c r="L45" s="1" t="s">
        <v>270</v>
      </c>
      <c r="M45" s="1"/>
      <c r="N45" s="1" t="s">
        <v>75</v>
      </c>
      <c r="O45" s="1" t="s">
        <v>24</v>
      </c>
      <c r="P45" s="1"/>
      <c r="Q45" s="1">
        <v>1</v>
      </c>
      <c r="R45" s="1">
        <v>1</v>
      </c>
      <c r="S45" s="1">
        <v>1</v>
      </c>
      <c r="T45" s="1" t="s">
        <v>76</v>
      </c>
      <c r="U45" s="1"/>
      <c r="V45" s="1">
        <v>8.0000000000000016E-2</v>
      </c>
      <c r="W45" s="1">
        <f t="shared" si="1"/>
        <v>12.499999999999998</v>
      </c>
      <c r="X45" s="1"/>
      <c r="Y45" s="1" t="s">
        <v>10</v>
      </c>
      <c r="Z45" s="1" t="s">
        <v>11</v>
      </c>
      <c r="AA45" s="1" t="s">
        <v>12</v>
      </c>
      <c r="AB45" s="1" t="s">
        <v>13</v>
      </c>
      <c r="AC45" s="1" t="s">
        <v>14</v>
      </c>
      <c r="AD45" s="1" t="s">
        <v>15</v>
      </c>
      <c r="AE45" s="1" t="s">
        <v>197</v>
      </c>
    </row>
    <row r="46" spans="1:31" x14ac:dyDescent="0.3">
      <c r="A46" s="1" t="s">
        <v>197</v>
      </c>
      <c r="B46" s="1" t="s">
        <v>198</v>
      </c>
      <c r="C46" s="1" t="s">
        <v>199</v>
      </c>
      <c r="D46" s="1" t="s">
        <v>200</v>
      </c>
      <c r="E46" s="1">
        <v>2024</v>
      </c>
      <c r="F46" s="1">
        <v>2016</v>
      </c>
      <c r="G46" s="1">
        <v>2018</v>
      </c>
      <c r="H46" s="1">
        <v>2</v>
      </c>
      <c r="I46" s="1" t="s">
        <v>271</v>
      </c>
      <c r="J46" s="1">
        <v>-34.768099999999997</v>
      </c>
      <c r="K46" s="1">
        <v>-72.055000000000007</v>
      </c>
      <c r="L46" s="1" t="s">
        <v>271</v>
      </c>
      <c r="M46" s="1"/>
      <c r="N46" s="1" t="s">
        <v>75</v>
      </c>
      <c r="O46" s="1" t="s">
        <v>24</v>
      </c>
      <c r="P46" s="1"/>
      <c r="Q46" s="1">
        <v>2</v>
      </c>
      <c r="R46" s="1">
        <v>2</v>
      </c>
      <c r="S46" s="1">
        <v>2</v>
      </c>
      <c r="T46" s="1" t="s">
        <v>76</v>
      </c>
      <c r="U46" s="1"/>
      <c r="V46" s="1">
        <v>8.0000000000000016E-2</v>
      </c>
      <c r="W46" s="1">
        <f t="shared" si="1"/>
        <v>24.999999999999996</v>
      </c>
      <c r="X46" s="1"/>
      <c r="Y46" s="1" t="s">
        <v>10</v>
      </c>
      <c r="Z46" s="1" t="s">
        <v>11</v>
      </c>
      <c r="AA46" s="1" t="s">
        <v>12</v>
      </c>
      <c r="AB46" s="1" t="s">
        <v>13</v>
      </c>
      <c r="AC46" s="1" t="s">
        <v>14</v>
      </c>
      <c r="AD46" s="1" t="s">
        <v>15</v>
      </c>
      <c r="AE46" s="1" t="s">
        <v>197</v>
      </c>
    </row>
    <row r="47" spans="1:31" x14ac:dyDescent="0.3">
      <c r="A47" s="1" t="s">
        <v>197</v>
      </c>
      <c r="B47" s="1" t="s">
        <v>198</v>
      </c>
      <c r="C47" s="1" t="s">
        <v>199</v>
      </c>
      <c r="D47" s="1" t="s">
        <v>200</v>
      </c>
      <c r="E47" s="1">
        <v>2024</v>
      </c>
      <c r="F47" s="1">
        <v>2016</v>
      </c>
      <c r="G47" s="1">
        <v>2018</v>
      </c>
      <c r="H47" s="1">
        <v>2</v>
      </c>
      <c r="I47" s="1" t="s">
        <v>272</v>
      </c>
      <c r="J47" s="1">
        <v>-35.949199999999998</v>
      </c>
      <c r="K47" s="1">
        <v>-72.615899999999996</v>
      </c>
      <c r="L47" s="1" t="s">
        <v>272</v>
      </c>
      <c r="M47" s="1"/>
      <c r="N47" s="1" t="s">
        <v>75</v>
      </c>
      <c r="O47" s="1" t="s">
        <v>24</v>
      </c>
      <c r="P47" s="1"/>
      <c r="Q47" s="1">
        <v>4</v>
      </c>
      <c r="R47" s="1">
        <v>4</v>
      </c>
      <c r="S47" s="1">
        <v>4</v>
      </c>
      <c r="T47" s="1" t="s">
        <v>76</v>
      </c>
      <c r="U47" s="1"/>
      <c r="V47" s="1">
        <v>8.0000000000000016E-2</v>
      </c>
      <c r="W47" s="1">
        <f t="shared" si="1"/>
        <v>49.999999999999993</v>
      </c>
      <c r="X47" s="1"/>
      <c r="Y47" s="1" t="s">
        <v>10</v>
      </c>
      <c r="Z47" s="1" t="s">
        <v>11</v>
      </c>
      <c r="AA47" s="1" t="s">
        <v>12</v>
      </c>
      <c r="AB47" s="1" t="s">
        <v>13</v>
      </c>
      <c r="AC47" s="1" t="s">
        <v>14</v>
      </c>
      <c r="AD47" s="1" t="s">
        <v>15</v>
      </c>
      <c r="AE47" s="1" t="s">
        <v>197</v>
      </c>
    </row>
    <row r="48" spans="1:31" x14ac:dyDescent="0.3">
      <c r="A48" s="1" t="s">
        <v>197</v>
      </c>
      <c r="B48" s="1" t="s">
        <v>198</v>
      </c>
      <c r="C48" s="1" t="s">
        <v>199</v>
      </c>
      <c r="D48" s="1" t="s">
        <v>200</v>
      </c>
      <c r="E48" s="1">
        <v>2024</v>
      </c>
      <c r="F48" s="1">
        <v>2016</v>
      </c>
      <c r="G48" s="1">
        <v>2018</v>
      </c>
      <c r="H48" s="1">
        <v>2</v>
      </c>
      <c r="I48" s="1" t="s">
        <v>273</v>
      </c>
      <c r="J48" s="1">
        <v>-36.133333</v>
      </c>
      <c r="K48" s="1">
        <v>-72.783332999999999</v>
      </c>
      <c r="L48" s="1" t="s">
        <v>273</v>
      </c>
      <c r="M48" s="1"/>
      <c r="N48" s="1" t="s">
        <v>75</v>
      </c>
      <c r="O48" s="1" t="s">
        <v>24</v>
      </c>
      <c r="P48" s="1"/>
      <c r="Q48" s="1">
        <v>1</v>
      </c>
      <c r="R48" s="1">
        <v>1</v>
      </c>
      <c r="S48" s="1">
        <v>1</v>
      </c>
      <c r="T48" s="1" t="s">
        <v>76</v>
      </c>
      <c r="U48" s="1"/>
      <c r="V48" s="1">
        <v>8.0000000000000016E-2</v>
      </c>
      <c r="W48" s="1">
        <f t="shared" si="1"/>
        <v>12.499999999999998</v>
      </c>
      <c r="X48" s="1"/>
      <c r="Y48" s="1" t="s">
        <v>10</v>
      </c>
      <c r="Z48" s="1" t="s">
        <v>11</v>
      </c>
      <c r="AA48" s="1" t="s">
        <v>12</v>
      </c>
      <c r="AB48" s="1" t="s">
        <v>13</v>
      </c>
      <c r="AC48" s="1" t="s">
        <v>14</v>
      </c>
      <c r="AD48" s="1" t="s">
        <v>15</v>
      </c>
      <c r="AE48" s="1" t="s">
        <v>197</v>
      </c>
    </row>
    <row r="49" spans="1:31" x14ac:dyDescent="0.3">
      <c r="A49" s="1" t="s">
        <v>197</v>
      </c>
      <c r="B49" s="1" t="s">
        <v>198</v>
      </c>
      <c r="C49" s="1" t="s">
        <v>199</v>
      </c>
      <c r="D49" s="1" t="s">
        <v>200</v>
      </c>
      <c r="E49" s="1">
        <v>2024</v>
      </c>
      <c r="F49" s="1">
        <v>2016</v>
      </c>
      <c r="G49" s="1">
        <v>2018</v>
      </c>
      <c r="H49" s="1">
        <v>2</v>
      </c>
      <c r="I49" s="1" t="s">
        <v>285</v>
      </c>
      <c r="J49" s="1">
        <v>-36.283332999999999</v>
      </c>
      <c r="K49" s="1">
        <v>-72.533332999999999</v>
      </c>
      <c r="L49" s="1" t="s">
        <v>285</v>
      </c>
      <c r="M49" s="1"/>
      <c r="N49" s="1" t="s">
        <v>75</v>
      </c>
      <c r="O49" s="1" t="s">
        <v>24</v>
      </c>
      <c r="P49" s="1"/>
      <c r="Q49" s="1">
        <v>77</v>
      </c>
      <c r="R49" s="1">
        <v>77</v>
      </c>
      <c r="S49" s="1">
        <v>77</v>
      </c>
      <c r="T49" s="1" t="s">
        <v>76</v>
      </c>
      <c r="U49" s="1"/>
      <c r="V49" s="1">
        <v>8.0000000000000016E-2</v>
      </c>
      <c r="W49" s="1">
        <f t="shared" si="1"/>
        <v>962.49999999999977</v>
      </c>
      <c r="X49" s="1"/>
      <c r="Y49" s="1" t="s">
        <v>10</v>
      </c>
      <c r="Z49" s="1" t="s">
        <v>11</v>
      </c>
      <c r="AA49" s="1" t="s">
        <v>12</v>
      </c>
      <c r="AB49" s="1" t="s">
        <v>13</v>
      </c>
      <c r="AC49" s="1" t="s">
        <v>14</v>
      </c>
      <c r="AD49" s="1" t="s">
        <v>15</v>
      </c>
      <c r="AE49" s="1" t="s">
        <v>197</v>
      </c>
    </row>
    <row r="50" spans="1:31" x14ac:dyDescent="0.3">
      <c r="A50" s="1" t="s">
        <v>197</v>
      </c>
      <c r="B50" s="1" t="s">
        <v>198</v>
      </c>
      <c r="C50" s="1" t="s">
        <v>199</v>
      </c>
      <c r="D50" s="1" t="s">
        <v>200</v>
      </c>
      <c r="E50" s="1">
        <v>2024</v>
      </c>
      <c r="F50" s="1">
        <v>2016</v>
      </c>
      <c r="G50" s="1">
        <v>2018</v>
      </c>
      <c r="H50" s="1">
        <v>2</v>
      </c>
      <c r="I50" s="1" t="s">
        <v>274</v>
      </c>
      <c r="J50" s="1">
        <v>-36.828194000000003</v>
      </c>
      <c r="K50" s="1">
        <v>-73.051368999999994</v>
      </c>
      <c r="L50" s="1" t="s">
        <v>274</v>
      </c>
      <c r="M50" s="1"/>
      <c r="N50" s="1" t="s">
        <v>75</v>
      </c>
      <c r="O50" s="1" t="s">
        <v>24</v>
      </c>
      <c r="P50" s="1"/>
      <c r="Q50" s="1">
        <v>22</v>
      </c>
      <c r="R50" s="1">
        <v>22</v>
      </c>
      <c r="S50" s="1">
        <v>22</v>
      </c>
      <c r="T50" s="1" t="s">
        <v>76</v>
      </c>
      <c r="U50" s="1"/>
      <c r="V50" s="1">
        <v>8.0000000000000016E-2</v>
      </c>
      <c r="W50" s="1">
        <f t="shared" si="1"/>
        <v>274.99999999999994</v>
      </c>
      <c r="X50" s="1"/>
      <c r="Y50" s="1" t="s">
        <v>10</v>
      </c>
      <c r="Z50" s="1" t="s">
        <v>11</v>
      </c>
      <c r="AA50" s="1" t="s">
        <v>12</v>
      </c>
      <c r="AB50" s="1" t="s">
        <v>13</v>
      </c>
      <c r="AC50" s="1" t="s">
        <v>14</v>
      </c>
      <c r="AD50" s="1" t="s">
        <v>15</v>
      </c>
      <c r="AE50" s="1" t="s">
        <v>197</v>
      </c>
    </row>
    <row r="51" spans="1:31" x14ac:dyDescent="0.3">
      <c r="A51" s="1" t="s">
        <v>197</v>
      </c>
      <c r="B51" s="1" t="s">
        <v>198</v>
      </c>
      <c r="C51" s="1" t="s">
        <v>199</v>
      </c>
      <c r="D51" s="1" t="s">
        <v>200</v>
      </c>
      <c r="E51" s="1">
        <v>2024</v>
      </c>
      <c r="F51" s="1">
        <v>2016</v>
      </c>
      <c r="G51" s="1">
        <v>2018</v>
      </c>
      <c r="H51" s="1">
        <v>2</v>
      </c>
      <c r="I51" s="1" t="s">
        <v>286</v>
      </c>
      <c r="J51" s="1">
        <v>-36.816667000000002</v>
      </c>
      <c r="K51" s="1">
        <v>-72.666667000000004</v>
      </c>
      <c r="L51" s="1" t="s">
        <v>286</v>
      </c>
      <c r="M51" s="1"/>
      <c r="N51" s="1" t="s">
        <v>75</v>
      </c>
      <c r="O51" s="1" t="s">
        <v>24</v>
      </c>
      <c r="P51" s="1"/>
      <c r="Q51" s="1">
        <v>18</v>
      </c>
      <c r="R51" s="1">
        <v>18</v>
      </c>
      <c r="S51" s="1">
        <v>18</v>
      </c>
      <c r="T51" s="1" t="s">
        <v>76</v>
      </c>
      <c r="U51" s="1"/>
      <c r="V51" s="1">
        <v>8.0000000000000016E-2</v>
      </c>
      <c r="W51" s="1">
        <f t="shared" si="1"/>
        <v>224.99999999999994</v>
      </c>
      <c r="X51" s="1"/>
      <c r="Y51" s="1" t="s">
        <v>10</v>
      </c>
      <c r="Z51" s="1" t="s">
        <v>11</v>
      </c>
      <c r="AA51" s="1" t="s">
        <v>12</v>
      </c>
      <c r="AB51" s="1" t="s">
        <v>13</v>
      </c>
      <c r="AC51" s="1" t="s">
        <v>14</v>
      </c>
      <c r="AD51" s="1" t="s">
        <v>15</v>
      </c>
      <c r="AE51" s="1" t="s">
        <v>197</v>
      </c>
    </row>
    <row r="52" spans="1:31" x14ac:dyDescent="0.3">
      <c r="A52" s="1" t="s">
        <v>197</v>
      </c>
      <c r="B52" s="1" t="s">
        <v>198</v>
      </c>
      <c r="C52" s="1" t="s">
        <v>199</v>
      </c>
      <c r="D52" s="1" t="s">
        <v>200</v>
      </c>
      <c r="E52" s="1">
        <v>2024</v>
      </c>
      <c r="F52" s="1">
        <v>2016</v>
      </c>
      <c r="G52" s="1">
        <v>2018</v>
      </c>
      <c r="H52" s="1">
        <v>2</v>
      </c>
      <c r="I52" s="1" t="s">
        <v>289</v>
      </c>
      <c r="J52" s="1">
        <v>-36.892778</v>
      </c>
      <c r="K52" s="1">
        <v>-72.977221999999998</v>
      </c>
      <c r="L52" s="1" t="s">
        <v>275</v>
      </c>
      <c r="M52" s="1"/>
      <c r="N52" s="1" t="s">
        <v>75</v>
      </c>
      <c r="O52" s="1" t="s">
        <v>24</v>
      </c>
      <c r="P52" s="1"/>
      <c r="Q52" s="1">
        <v>25</v>
      </c>
      <c r="R52" s="1">
        <v>25</v>
      </c>
      <c r="S52" s="1">
        <v>25</v>
      </c>
      <c r="T52" s="1" t="s">
        <v>76</v>
      </c>
      <c r="U52" s="1"/>
      <c r="V52" s="1">
        <v>8.0000000000000016E-2</v>
      </c>
      <c r="W52" s="1">
        <f t="shared" si="1"/>
        <v>312.49999999999994</v>
      </c>
      <c r="X52" s="1"/>
      <c r="Y52" s="1" t="s">
        <v>10</v>
      </c>
      <c r="Z52" s="1" t="s">
        <v>11</v>
      </c>
      <c r="AA52" s="1" t="s">
        <v>12</v>
      </c>
      <c r="AB52" s="1" t="s">
        <v>13</v>
      </c>
      <c r="AC52" s="1" t="s">
        <v>14</v>
      </c>
      <c r="AD52" s="1" t="s">
        <v>15</v>
      </c>
      <c r="AE52" s="1" t="s">
        <v>197</v>
      </c>
    </row>
    <row r="53" spans="1:31" x14ac:dyDescent="0.3">
      <c r="A53" s="1" t="s">
        <v>197</v>
      </c>
      <c r="B53" s="1" t="s">
        <v>198</v>
      </c>
      <c r="C53" s="1" t="s">
        <v>199</v>
      </c>
      <c r="D53" s="1" t="s">
        <v>200</v>
      </c>
      <c r="E53" s="1">
        <v>2024</v>
      </c>
      <c r="F53" s="1">
        <v>2016</v>
      </c>
      <c r="G53" s="1">
        <v>2018</v>
      </c>
      <c r="H53" s="1">
        <v>2</v>
      </c>
      <c r="I53" s="1" t="s">
        <v>277</v>
      </c>
      <c r="J53" s="1">
        <v>-45.402500000000003</v>
      </c>
      <c r="K53" s="1">
        <v>-72.69</v>
      </c>
      <c r="L53" s="1" t="s">
        <v>277</v>
      </c>
      <c r="M53" s="1"/>
      <c r="N53" s="1" t="s">
        <v>75</v>
      </c>
      <c r="O53" s="1" t="s">
        <v>24</v>
      </c>
      <c r="P53" s="1"/>
      <c r="Q53" s="1">
        <v>4</v>
      </c>
      <c r="R53" s="1">
        <v>4</v>
      </c>
      <c r="S53" s="1">
        <v>4</v>
      </c>
      <c r="T53" s="1" t="s">
        <v>76</v>
      </c>
      <c r="U53" s="1"/>
      <c r="V53" s="1">
        <v>8.0000000000000016E-2</v>
      </c>
      <c r="W53" s="1">
        <f t="shared" si="1"/>
        <v>49.999999999999993</v>
      </c>
      <c r="X53" s="1"/>
      <c r="Y53" s="1" t="s">
        <v>10</v>
      </c>
      <c r="Z53" s="1" t="s">
        <v>11</v>
      </c>
      <c r="AA53" s="1" t="s">
        <v>12</v>
      </c>
      <c r="AB53" s="1" t="s">
        <v>13</v>
      </c>
      <c r="AC53" s="1" t="s">
        <v>14</v>
      </c>
      <c r="AD53" s="1" t="s">
        <v>15</v>
      </c>
      <c r="AE53" s="1" t="s">
        <v>197</v>
      </c>
    </row>
    <row r="54" spans="1:31" x14ac:dyDescent="0.3">
      <c r="A54" s="1" t="s">
        <v>197</v>
      </c>
      <c r="B54" s="1" t="s">
        <v>198</v>
      </c>
      <c r="C54" s="1" t="s">
        <v>199</v>
      </c>
      <c r="D54" s="1" t="s">
        <v>200</v>
      </c>
      <c r="E54" s="1">
        <v>2024</v>
      </c>
      <c r="F54" s="1">
        <v>2016</v>
      </c>
      <c r="G54" s="1">
        <v>2018</v>
      </c>
      <c r="H54" s="1">
        <v>2</v>
      </c>
      <c r="I54" s="1" t="s">
        <v>276</v>
      </c>
      <c r="J54" s="1">
        <v>-45.466667000000001</v>
      </c>
      <c r="K54" s="1">
        <v>-72.816666999999995</v>
      </c>
      <c r="L54" s="1" t="s">
        <v>276</v>
      </c>
      <c r="M54" s="1"/>
      <c r="N54" s="1" t="s">
        <v>75</v>
      </c>
      <c r="O54" s="1" t="s">
        <v>24</v>
      </c>
      <c r="P54" s="1"/>
      <c r="Q54" s="1">
        <v>3</v>
      </c>
      <c r="R54" s="1">
        <v>3</v>
      </c>
      <c r="S54" s="1">
        <v>3</v>
      </c>
      <c r="T54" s="1" t="s">
        <v>76</v>
      </c>
      <c r="U54" s="1"/>
      <c r="V54" s="1">
        <v>8.0000000000000016E-2</v>
      </c>
      <c r="W54" s="1">
        <f t="shared" si="1"/>
        <v>37.499999999999993</v>
      </c>
      <c r="X54" s="1"/>
      <c r="Y54" s="1" t="s">
        <v>10</v>
      </c>
      <c r="Z54" s="1" t="s">
        <v>11</v>
      </c>
      <c r="AA54" s="1" t="s">
        <v>12</v>
      </c>
      <c r="AB54" s="1" t="s">
        <v>13</v>
      </c>
      <c r="AC54" s="1" t="s">
        <v>14</v>
      </c>
      <c r="AD54" s="1" t="s">
        <v>15</v>
      </c>
      <c r="AE54" s="1" t="s">
        <v>197</v>
      </c>
    </row>
    <row r="55" spans="1:31" x14ac:dyDescent="0.3">
      <c r="A55" s="1" t="s">
        <v>197</v>
      </c>
      <c r="B55" s="1" t="s">
        <v>198</v>
      </c>
      <c r="C55" s="1" t="s">
        <v>199</v>
      </c>
      <c r="D55" s="1" t="s">
        <v>200</v>
      </c>
      <c r="E55" s="1">
        <v>2024</v>
      </c>
      <c r="F55" s="1">
        <v>2016</v>
      </c>
      <c r="G55" s="1">
        <v>2018</v>
      </c>
      <c r="H55" s="1">
        <v>2</v>
      </c>
      <c r="I55" s="1" t="s">
        <v>287</v>
      </c>
      <c r="J55" s="1">
        <v>-53.166666999999997</v>
      </c>
      <c r="K55" s="1">
        <v>-70.933333000000005</v>
      </c>
      <c r="L55" s="1" t="s">
        <v>287</v>
      </c>
      <c r="M55" s="1"/>
      <c r="N55" s="1" t="s">
        <v>75</v>
      </c>
      <c r="O55" s="1" t="s">
        <v>24</v>
      </c>
      <c r="P55" s="1"/>
      <c r="Q55" s="1">
        <v>5</v>
      </c>
      <c r="R55" s="1">
        <v>5</v>
      </c>
      <c r="S55" s="1">
        <v>5</v>
      </c>
      <c r="T55" s="1" t="s">
        <v>76</v>
      </c>
      <c r="U55" s="1"/>
      <c r="V55" s="1">
        <v>8.0000000000000016E-2</v>
      </c>
      <c r="W55" s="1">
        <f t="shared" si="1"/>
        <v>62.499999999999986</v>
      </c>
      <c r="X55" s="1"/>
      <c r="Y55" s="1" t="s">
        <v>10</v>
      </c>
      <c r="Z55" s="1" t="s">
        <v>11</v>
      </c>
      <c r="AA55" s="1" t="s">
        <v>12</v>
      </c>
      <c r="AB55" s="1" t="s">
        <v>13</v>
      </c>
      <c r="AC55" s="1" t="s">
        <v>14</v>
      </c>
      <c r="AD55" s="1" t="s">
        <v>15</v>
      </c>
      <c r="AE55" s="1" t="s">
        <v>197</v>
      </c>
    </row>
    <row r="56" spans="1:31" x14ac:dyDescent="0.3">
      <c r="A56" s="1" t="s">
        <v>201</v>
      </c>
      <c r="B56" s="1" t="s">
        <v>202</v>
      </c>
      <c r="C56" s="1" t="s">
        <v>203</v>
      </c>
      <c r="D56" s="1" t="s">
        <v>204</v>
      </c>
      <c r="E56" s="1">
        <v>2014</v>
      </c>
      <c r="F56" s="1">
        <v>2009</v>
      </c>
      <c r="G56" s="1">
        <v>2011</v>
      </c>
      <c r="H56" s="1">
        <v>2</v>
      </c>
      <c r="I56" s="1" t="s">
        <v>205</v>
      </c>
      <c r="J56" s="1">
        <v>13.513610999999999</v>
      </c>
      <c r="K56" s="1">
        <v>2.108889</v>
      </c>
      <c r="L56" s="1" t="s">
        <v>206</v>
      </c>
      <c r="M56" s="1"/>
      <c r="N56" s="1" t="s">
        <v>207</v>
      </c>
      <c r="O56" s="1" t="s">
        <v>23</v>
      </c>
      <c r="P56" s="1" t="s">
        <v>57</v>
      </c>
      <c r="Q56" s="1">
        <v>161</v>
      </c>
      <c r="R56" s="1">
        <f>77+1+19+4+1+7+4+4+19+24+2+13+1+1+1</f>
        <v>178</v>
      </c>
      <c r="S56" s="1">
        <f>AVERAGE(Q56:R56)</f>
        <v>169.5</v>
      </c>
      <c r="T56" s="1" t="s">
        <v>76</v>
      </c>
      <c r="U56" s="1"/>
      <c r="V56" s="1">
        <v>297.45999999999998</v>
      </c>
      <c r="W56" s="1">
        <f t="shared" si="1"/>
        <v>0.56982451422039937</v>
      </c>
      <c r="X56" s="1"/>
      <c r="Y56" s="1" t="s">
        <v>10</v>
      </c>
      <c r="Z56" s="1" t="s">
        <v>11</v>
      </c>
      <c r="AA56" s="1" t="s">
        <v>12</v>
      </c>
      <c r="AB56" s="1" t="s">
        <v>13</v>
      </c>
      <c r="AC56" s="1" t="s">
        <v>14</v>
      </c>
      <c r="AD56" s="1" t="s">
        <v>15</v>
      </c>
      <c r="AE56" s="1" t="s">
        <v>201</v>
      </c>
    </row>
    <row r="57" spans="1:31" x14ac:dyDescent="0.3">
      <c r="A57" s="1" t="s">
        <v>208</v>
      </c>
      <c r="B57" s="1" t="s">
        <v>209</v>
      </c>
      <c r="C57" s="1" t="s">
        <v>52</v>
      </c>
      <c r="D57" s="1" t="s">
        <v>210</v>
      </c>
      <c r="E57" s="1">
        <v>2016</v>
      </c>
      <c r="F57" s="1">
        <v>2011</v>
      </c>
      <c r="G57" s="1">
        <v>2011</v>
      </c>
      <c r="H57" s="1">
        <v>0</v>
      </c>
      <c r="I57" s="1" t="s">
        <v>211</v>
      </c>
      <c r="J57" s="1">
        <v>-33.8175265751008</v>
      </c>
      <c r="K57" s="1">
        <v>151.28972112637501</v>
      </c>
      <c r="L57" s="1" t="s">
        <v>54</v>
      </c>
      <c r="M57" s="1" t="s">
        <v>55</v>
      </c>
      <c r="N57" s="1" t="s">
        <v>56</v>
      </c>
      <c r="O57" s="1" t="s">
        <v>56</v>
      </c>
      <c r="P57" s="1" t="s">
        <v>57</v>
      </c>
      <c r="Q57" s="1">
        <v>17</v>
      </c>
      <c r="R57" s="1">
        <v>40</v>
      </c>
      <c r="S57" s="1">
        <f>AVERAGE(Q57:R57)</f>
        <v>28.5</v>
      </c>
      <c r="T57" s="1" t="s">
        <v>9</v>
      </c>
      <c r="U57" s="1"/>
      <c r="V57" s="1"/>
      <c r="W57" s="1">
        <f>S57*100</f>
        <v>2850</v>
      </c>
      <c r="X57" s="1"/>
      <c r="Y57" s="1" t="s">
        <v>10</v>
      </c>
      <c r="Z57" s="1" t="s">
        <v>11</v>
      </c>
      <c r="AA57" s="1" t="s">
        <v>12</v>
      </c>
      <c r="AB57" s="1" t="s">
        <v>13</v>
      </c>
      <c r="AC57" s="1" t="s">
        <v>14</v>
      </c>
      <c r="AD57" s="1" t="s">
        <v>15</v>
      </c>
      <c r="AE57" s="1" t="s">
        <v>208</v>
      </c>
    </row>
    <row r="58" spans="1:31" x14ac:dyDescent="0.3">
      <c r="A58" s="1" t="s">
        <v>212</v>
      </c>
      <c r="B58" s="1" t="s">
        <v>213</v>
      </c>
      <c r="C58" s="1" t="s">
        <v>214</v>
      </c>
      <c r="D58" s="1" t="s">
        <v>215</v>
      </c>
      <c r="E58" s="1">
        <v>2007</v>
      </c>
      <c r="F58" s="1">
        <v>2002</v>
      </c>
      <c r="G58" s="1">
        <v>2003</v>
      </c>
      <c r="H58" s="1">
        <v>1</v>
      </c>
      <c r="I58" s="1" t="s">
        <v>216</v>
      </c>
      <c r="J58" s="1">
        <v>-0.18758613977845401</v>
      </c>
      <c r="K58" s="1">
        <v>-90.700742996177695</v>
      </c>
      <c r="L58" s="1"/>
      <c r="M58" s="1" t="s">
        <v>217</v>
      </c>
      <c r="N58" s="1" t="s">
        <v>35</v>
      </c>
      <c r="O58" s="1" t="s">
        <v>24</v>
      </c>
      <c r="P58" s="1" t="s">
        <v>8</v>
      </c>
      <c r="Q58" s="1">
        <f>26+14+11+8+1+3+18+15+7+7+3+2+9+15+27+14+11+4+19+13+16+9+7+19+25+15+6+2+19+14+16+15+5+2</f>
        <v>397</v>
      </c>
      <c r="R58" s="1">
        <f>26+14+11+8+1+3+18+15+7+7+3+2+9+15+27+14+11+4+19+13+16+9+7+19+25+15+6+2+19+14+16+15+5+2</f>
        <v>397</v>
      </c>
      <c r="S58" s="1">
        <f>26+14+11+8+1+3+18+15+7+7+3+2+9+15+27+14+11+4+19+13+16+9+7+19+25+15+6+2+19+14+16+15+5+2</f>
        <v>397</v>
      </c>
      <c r="T58" s="1" t="s">
        <v>76</v>
      </c>
      <c r="U58" s="1"/>
      <c r="V58" s="1">
        <v>585</v>
      </c>
      <c r="W58" s="1">
        <f t="shared" si="1"/>
        <v>0.67863247863247866</v>
      </c>
      <c r="X58" s="1" t="s">
        <v>36</v>
      </c>
      <c r="Y58" s="1" t="s">
        <v>10</v>
      </c>
      <c r="Z58" s="1" t="s">
        <v>11</v>
      </c>
      <c r="AA58" s="1" t="s">
        <v>12</v>
      </c>
      <c r="AB58" s="1" t="s">
        <v>13</v>
      </c>
      <c r="AC58" s="1" t="s">
        <v>14</v>
      </c>
      <c r="AD58" s="1" t="s">
        <v>15</v>
      </c>
      <c r="AE58" s="1" t="s">
        <v>212</v>
      </c>
    </row>
    <row r="59" spans="1:31" x14ac:dyDescent="0.3">
      <c r="A59" s="1" t="s">
        <v>218</v>
      </c>
      <c r="B59" s="1" t="s">
        <v>219</v>
      </c>
      <c r="C59" s="1" t="s">
        <v>220</v>
      </c>
      <c r="D59" s="1" t="s">
        <v>221</v>
      </c>
      <c r="E59" s="1">
        <v>2017</v>
      </c>
      <c r="F59" s="1">
        <v>2013</v>
      </c>
      <c r="G59" s="1">
        <v>2014</v>
      </c>
      <c r="H59" s="1">
        <v>1</v>
      </c>
      <c r="I59" s="1" t="s">
        <v>222</v>
      </c>
      <c r="J59" s="1">
        <v>-20.463758315854001</v>
      </c>
      <c r="K59" s="1">
        <v>164.215680348463</v>
      </c>
      <c r="L59" s="1"/>
      <c r="M59" s="1" t="s">
        <v>223</v>
      </c>
      <c r="N59" s="1" t="s">
        <v>26</v>
      </c>
      <c r="O59" s="1" t="s">
        <v>27</v>
      </c>
      <c r="P59" s="1" t="s">
        <v>8</v>
      </c>
      <c r="Q59" s="1">
        <v>63</v>
      </c>
      <c r="R59" s="1">
        <v>63</v>
      </c>
      <c r="S59" s="1">
        <v>63</v>
      </c>
      <c r="T59" s="1" t="s">
        <v>76</v>
      </c>
      <c r="U59" s="1"/>
      <c r="V59" s="1"/>
      <c r="W59" s="1"/>
      <c r="X59" s="1"/>
      <c r="Y59" s="1" t="s">
        <v>10</v>
      </c>
      <c r="Z59" s="1" t="s">
        <v>11</v>
      </c>
      <c r="AA59" s="1" t="s">
        <v>12</v>
      </c>
      <c r="AB59" s="1" t="s">
        <v>13</v>
      </c>
      <c r="AC59" s="1" t="s">
        <v>14</v>
      </c>
      <c r="AD59" s="1" t="s">
        <v>15</v>
      </c>
      <c r="AE59" s="1" t="s">
        <v>218</v>
      </c>
    </row>
    <row r="60" spans="1:31" x14ac:dyDescent="0.3">
      <c r="A60" s="1" t="s">
        <v>218</v>
      </c>
      <c r="B60" s="1" t="s">
        <v>219</v>
      </c>
      <c r="C60" s="1" t="s">
        <v>220</v>
      </c>
      <c r="D60" s="1" t="s">
        <v>221</v>
      </c>
      <c r="E60" s="1">
        <v>2017</v>
      </c>
      <c r="F60" s="1">
        <v>2013</v>
      </c>
      <c r="G60" s="1">
        <v>2014</v>
      </c>
      <c r="H60" s="1">
        <v>1</v>
      </c>
      <c r="I60" s="1" t="s">
        <v>224</v>
      </c>
      <c r="J60" s="1">
        <v>-22.2828786571019</v>
      </c>
      <c r="K60" s="1">
        <v>167.005657825729</v>
      </c>
      <c r="L60" s="1" t="s">
        <v>224</v>
      </c>
      <c r="M60" s="1" t="s">
        <v>225</v>
      </c>
      <c r="N60" s="1" t="s">
        <v>26</v>
      </c>
      <c r="O60" s="1" t="s">
        <v>27</v>
      </c>
      <c r="P60" s="1" t="s">
        <v>8</v>
      </c>
      <c r="Q60" s="1">
        <v>50</v>
      </c>
      <c r="R60" s="1">
        <v>50</v>
      </c>
      <c r="S60" s="1">
        <v>50</v>
      </c>
      <c r="T60" s="1" t="s">
        <v>76</v>
      </c>
      <c r="U60" s="1"/>
      <c r="V60" s="1"/>
      <c r="W60" s="1"/>
      <c r="X60" s="1"/>
      <c r="Y60" s="1" t="s">
        <v>10</v>
      </c>
      <c r="Z60" s="1" t="s">
        <v>11</v>
      </c>
      <c r="AA60" s="1" t="s">
        <v>12</v>
      </c>
      <c r="AB60" s="1" t="s">
        <v>13</v>
      </c>
      <c r="AC60" s="1" t="s">
        <v>14</v>
      </c>
      <c r="AD60" s="1" t="s">
        <v>15</v>
      </c>
      <c r="AE60" s="1" t="s">
        <v>218</v>
      </c>
    </row>
    <row r="63" spans="1:31" x14ac:dyDescent="0.3">
      <c r="M63" s="1"/>
      <c r="N63" s="1"/>
      <c r="O63" s="1"/>
      <c r="P63" s="1"/>
    </row>
    <row r="64" spans="1:31" x14ac:dyDescent="0.3">
      <c r="P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Stewart</dc:creator>
  <cp:lastModifiedBy>Malcolm Stewart</cp:lastModifiedBy>
  <dcterms:created xsi:type="dcterms:W3CDTF">2026-06-25T15:59:10Z</dcterms:created>
  <dcterms:modified xsi:type="dcterms:W3CDTF">2026-08-05T17:01:39Z</dcterms:modified>
</cp:coreProperties>
</file>