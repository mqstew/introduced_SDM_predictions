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w\Documents\Modelling\Data\"/>
    </mc:Choice>
  </mc:AlternateContent>
  <xr:revisionPtr revIDLastSave="0" documentId="13_ncr:9_{C06E0F6F-E1CD-473A-B1AE-CAA194E37435}" xr6:coauthVersionLast="47" xr6:coauthVersionMax="47" xr10:uidLastSave="{00000000-0000-0000-0000-000000000000}"/>
  <bookViews>
    <workbookView xWindow="-108" yWindow="-108" windowWidth="23256" windowHeight="12456" xr2:uid="{BB5B995D-DB2E-4F30-B4E5-E170FD1ED7D2}"/>
  </bookViews>
  <sheets>
    <sheet name="neogale_vison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5" i="1" l="1"/>
  <c r="S15" i="1"/>
  <c r="S13" i="1"/>
  <c r="V3" i="1" l="1"/>
  <c r="W17" i="1"/>
  <c r="W18" i="1"/>
  <c r="S14" i="1"/>
  <c r="R12" i="1"/>
  <c r="Q12" i="1"/>
  <c r="V11" i="1"/>
  <c r="S10" i="1"/>
  <c r="W10" i="1" s="1"/>
  <c r="S9" i="1"/>
  <c r="W9" i="1" s="1"/>
  <c r="S8" i="1"/>
  <c r="S7" i="1"/>
  <c r="W7" i="1" s="1"/>
  <c r="S5" i="1"/>
  <c r="S4" i="1"/>
  <c r="W4" i="1" s="1"/>
  <c r="S3" i="1"/>
  <c r="S2" i="1"/>
  <c r="S11" i="1"/>
  <c r="V8" i="1"/>
  <c r="H7" i="1"/>
  <c r="V5" i="1"/>
  <c r="V2" i="1"/>
  <c r="H4" i="1"/>
  <c r="W8" i="1" l="1"/>
  <c r="W3" i="1"/>
  <c r="W5" i="1"/>
  <c r="W2" i="1"/>
  <c r="W11" i="1"/>
  <c r="S12" i="1"/>
  <c r="W12" i="1" s="1"/>
  <c r="S6" i="1" l="1"/>
</calcChain>
</file>

<file path=xl/sharedStrings.xml><?xml version="1.0" encoding="utf-8"?>
<sst xmlns="http://schemas.openxmlformats.org/spreadsheetml/2006/main" count="383" uniqueCount="151">
  <si>
    <t>10.1007/s10344-013-0689-8</t>
  </si>
  <si>
    <t>Do American mink kill European mink? Cautionary message for future recovery efforts</t>
  </si>
  <si>
    <t>Madis PÃƒÂµdra; AsunciÃƒÂ³n GÃƒÂ³mez; Santiago PalazÃƒÂ³n</t>
  </si>
  <si>
    <t>European Journal of Wildlife Research</t>
  </si>
  <si>
    <t>Salburua wetland</t>
  </si>
  <si>
    <t>Vitoria-Gasteiz</t>
  </si>
  <si>
    <t>ÃƒÂlava, Basque Country</t>
  </si>
  <si>
    <t>Spain</t>
  </si>
  <si>
    <t>Europe</t>
  </si>
  <si>
    <t>no</t>
  </si>
  <si>
    <t>N</t>
  </si>
  <si>
    <t>Freshwater</t>
  </si>
  <si>
    <t>Animalia</t>
  </si>
  <si>
    <t>Chordata</t>
  </si>
  <si>
    <t>Mammalia</t>
  </si>
  <si>
    <t>Vertebrates</t>
  </si>
  <si>
    <t>Mustela vison</t>
  </si>
  <si>
    <t>Zadorra River (near Salburua)</t>
  </si>
  <si>
    <t>10.1007/s10530-016-1205-3</t>
  </si>
  <si>
    <t>Behavioural plasticity in nest-site selection of a colonial seabird in response to an invasive carnivore</t>
  </si>
  <si>
    <t>ÃƒÂlvaro Barros; Rafael Romero; Ignacio Munilla; Cristobal PÃƒÂ©rez; Alberto Velando</t>
  </si>
  <si>
    <t>Biological Invasions</t>
  </si>
  <si>
    <t>Vigo</t>
  </si>
  <si>
    <t>Galicia</t>
  </si>
  <si>
    <t>yes</t>
  </si>
  <si>
    <t>Marine</t>
  </si>
  <si>
    <t>10.1007/s10531-012-0410-3</t>
  </si>
  <si>
    <t>The impact of river fragmentation on the population persistence of native and alien mink: an ecological trap for the endangered European mink</t>
  </si>
  <si>
    <t>IÃƒÂ±igo Zuberogoitia; Hanna Zalewska; Jabi Zabala; Andrzej Zalewski</t>
  </si>
  <si>
    <t>Biodiversity and Conservation</t>
  </si>
  <si>
    <t>Ibaizabal River catchment</t>
  </si>
  <si>
    <t>Biscay, Basque Country</t>
  </si>
  <si>
    <t>Terrestrial</t>
  </si>
  <si>
    <t>10.1016/0006-3207(90)90031-j</t>
  </si>
  <si>
    <t>The Impact of Feral Mink Mustela vison on Water Voles Arvicola terrestris in the North Yorkshire Moors National Park</t>
  </si>
  <si>
    <t>Gordon Woodroffe; John Lawton; Walter Davidson</t>
  </si>
  <si>
    <t>North Yorkshire Moors National Park</t>
  </si>
  <si>
    <t>United Kingdom</t>
  </si>
  <si>
    <t>tracks m^-1 month^-1</t>
  </si>
  <si>
    <t>10.1016/j.biocon.2011.11.012</t>
  </si>
  <si>
    <t>Numerical and behavioral responses of waterfowl to the invasive American mink: A conservation paradox</t>
  </si>
  <si>
    <t>Marcin BrzeziÃ…â€žski; Magdalena Natorff; Andrzej Zalewski; MichaÃ…â€š Ã…Â»mihorski</t>
  </si>
  <si>
    <t>Biological Conservation</t>
  </si>
  <si>
    <t>Mazurian Lakeland, NE Poland</t>
  </si>
  <si>
    <t>Poland</t>
  </si>
  <si>
    <t>10.1016/j.biocon.2017.05.032</t>
  </si>
  <si>
    <t>Non-native predator control increases the nesting success of birds: American mink preying on wader nests</t>
  </si>
  <si>
    <t>Agnieszka Niemczynowicz; Piotr Ã…Å¡wiÃ„â„¢tochowski; Marcin BrzeziÃ…â€žski; Andrzej Zalewski</t>
  </si>
  <si>
    <t>north-eastern Poland</t>
  </si>
  <si>
    <t>Flagged</t>
  </si>
  <si>
    <t>10.1016/s0006-3207(02)00162-3</t>
  </si>
  <si>
    <t>Effects of feral mink removal on seabirds, waders and passerines on small islands in the Baltic Sea</t>
  </si>
  <si>
    <t>Mikael NordstroÃ‚Â¨m; Jouko HoÃ‚Â¨gmander; Jarmo Laine; Jukka Nummelin; Nikolaj Laanetu; Erkki KorpimaÃ‚Â¨ki</t>
  </si>
  <si>
    <t>Southwestern Finland</t>
  </si>
  <si>
    <t>Finland</t>
  </si>
  <si>
    <t>10.1017/s0959270912000019</t>
  </si>
  <si>
    <t>A new threat for the globally Endangered Hooded Grebe&lt;i&gt;Podiceps gallardoi&lt;/i&gt;: the American mink&lt;i&gt;Neovison vison&lt;/i&gt;.</t>
  </si>
  <si>
    <t>IGNACIO ROESLER; SANTIAGO IMBERTI; HERNÃƒÂN CASAÃƒâ€˜AS; NOELIA VOLPE</t>
  </si>
  <si>
    <t>Bird Conservation International</t>
  </si>
  <si>
    <t>El Cervecero Lake</t>
  </si>
  <si>
    <t>Santa Cruz Province, Argentinean Patagonia</t>
  </si>
  <si>
    <t>Argentina</t>
  </si>
  <si>
    <t>South America</t>
  </si>
  <si>
    <t>10.1046/j.1365-2664.1999.00431.x</t>
  </si>
  <si>
    <t>The impact of American mink &lt;i&gt;Mustela vison&lt;/i&gt; on water birds in the upper Thames</t>
  </si>
  <si>
    <t>P Ferreras; D Macdonald</t>
  </si>
  <si>
    <t>Journal of Applied Ecology</t>
  </si>
  <si>
    <t>Upper Thames River between Lechlade and Northmoor Lock</t>
  </si>
  <si>
    <t>Oxfordshire;Gloucestershire</t>
  </si>
  <si>
    <t>10.1111/j.0030-1299.2004.12763.x</t>
  </si>
  <si>
    <t>Competition between Eurasian otter&lt;i&gt;Lutra lutra&lt;/i&gt;and American mink&lt;i&gt;Mustela vison&lt;/i&gt;probed by niche shift</t>
  </si>
  <si>
    <t>Laura Bonesi; Paul Chanin; David W. Macdonald</t>
  </si>
  <si>
    <t>Oikos</t>
  </si>
  <si>
    <t>River Teign</t>
  </si>
  <si>
    <t>Devon</t>
  </si>
  <si>
    <t>10.1111/j.1095-8649.1988.tb05536.x</t>
  </si>
  <si>
    <t>Effect of mink, &lt;i&gt;Mustela vison&lt;/i&gt; Schreber, predation on cohorts of juvenile Atlantic salmon, &lt;i&gt;Salmo salar&lt;/i&gt; L., and brown trout, &lt;i&gt;S. trutta&lt;/i&gt; L., in three small streams</t>
  </si>
  <si>
    <t>J. Heggenes; R. BorgstrÃƒÂ¸m</t>
  </si>
  <si>
    <t>Journal of Fish Biology</t>
  </si>
  <si>
    <t>Viken</t>
  </si>
  <si>
    <t>Norway</t>
  </si>
  <si>
    <t>10.1111/j.1469-7998.1998.tb00187.x</t>
  </si>
  <si>
    <t>Habitat use and diet of the American mink (&lt;i&gt;Mustela vison&lt;/i&gt;) in Argentinian Patagonia</t>
  </si>
  <si>
    <t>A. Previtali; M. H. Cassini; D. W. Macdonald</t>
  </si>
  <si>
    <t>Journal of Zoology</t>
  </si>
  <si>
    <t>Nahuel Huapi National Park</t>
  </si>
  <si>
    <t>Unknown</t>
  </si>
  <si>
    <t>10.1134/s2075111718040033</t>
  </si>
  <si>
    <t>Alien Species of the Mammalian Fauna in Yakutia</t>
  </si>
  <si>
    <t>A. V. Argunov</t>
  </si>
  <si>
    <t>Russian Journal of Biological Invasions</t>
  </si>
  <si>
    <t>Republic of Sakha (Yakutia)</t>
  </si>
  <si>
    <t>Russia</t>
  </si>
  <si>
    <t>Asia</t>
  </si>
  <si>
    <t>10.1890/08-0302.1</t>
  </si>
  <si>
    <t>The impact of native competitors on an alien invasive: temporal niche shifts to avoid interspecific aggression</t>
  </si>
  <si>
    <t>Lauren A. Harrington; Andrew L. Harrington; Nobuyuki Yamaguchi; Michael D. Thom; Pablo Ferreras; Thomas R. Windham; David W. Macdonald</t>
  </si>
  <si>
    <t>Ecology</t>
  </si>
  <si>
    <t>River Thames near Oxford (20-km stretch)</t>
  </si>
  <si>
    <t>Oxford</t>
  </si>
  <si>
    <t>Oxfordshire</t>
  </si>
  <si>
    <t>ind/km</t>
  </si>
  <si>
    <t>10.2307/5446</t>
  </si>
  <si>
    <t>HABITAT AND THE DISTRIBUTION OF WATER VOLES: WHY ARE THERE GAPS IN A SPECIES' RANGE?</t>
  </si>
  <si>
    <t>John Lawtont; Gordon Woodroffe</t>
  </si>
  <si>
    <t>activity index (sum 1985-86)</t>
  </si>
  <si>
    <t>doi</t>
  </si>
  <si>
    <t>title</t>
  </si>
  <si>
    <t>authors</t>
  </si>
  <si>
    <t>journal</t>
  </si>
  <si>
    <t>year</t>
  </si>
  <si>
    <t>start_sampling_year</t>
  </si>
  <si>
    <t>end_sampling_year</t>
  </si>
  <si>
    <t>sampling_duration</t>
  </si>
  <si>
    <t>sampling_site</t>
  </si>
  <si>
    <t>sampling_latitude</t>
  </si>
  <si>
    <t>sampling_longitude</t>
  </si>
  <si>
    <t>sampling_city</t>
  </si>
  <si>
    <t>sampling_region</t>
  </si>
  <si>
    <t>sampling_country</t>
  </si>
  <si>
    <t>sampling_continent</t>
  </si>
  <si>
    <t>island</t>
  </si>
  <si>
    <t>ias_abundance_unit</t>
  </si>
  <si>
    <t>experimental</t>
  </si>
  <si>
    <t>habitat</t>
  </si>
  <si>
    <t>kingdom</t>
  </si>
  <si>
    <t>phylum</t>
  </si>
  <si>
    <t>class</t>
  </si>
  <si>
    <t>Group_for_score</t>
  </si>
  <si>
    <t>species</t>
  </si>
  <si>
    <t>doi_clean</t>
  </si>
  <si>
    <t>min_ias_abundance</t>
  </si>
  <si>
    <t>max_ias_abundance</t>
  </si>
  <si>
    <t>avg_ias_abundance</t>
  </si>
  <si>
    <t>area_km2</t>
  </si>
  <si>
    <t>study_area</t>
  </si>
  <si>
    <t>ind_per_km2</t>
  </si>
  <si>
    <t>Mazurian Lakeland, Tuchlin, Łuknajno, Majcz Wielki, Inulec and Kociołek</t>
  </si>
  <si>
    <t>Biebrza and Narew National Parks</t>
  </si>
  <si>
    <t>R2, Archipelago National Park, Finland</t>
  </si>
  <si>
    <t>R1, Archipelago National Park, Finland</t>
  </si>
  <si>
    <t>Captures/trap-nights</t>
  </si>
  <si>
    <t>Victoria Island, Nahuel Huapi National Park</t>
  </si>
  <si>
    <t>Rivers Esk, Dove, Seve, Rye</t>
  </si>
  <si>
    <t>Rivers Esk, Dove, Seven, Seph and Rye</t>
  </si>
  <si>
    <t>n/a</t>
  </si>
  <si>
    <t>activity index only</t>
  </si>
  <si>
    <t>ind/km2</t>
  </si>
  <si>
    <t>Bolstadbekken (inlet stream to Lake Ãƒâ€¦rungen), Locality 1</t>
  </si>
  <si>
    <t>Abbortjernbekken, Locality 3</t>
  </si>
  <si>
    <t>Illas Cíes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</si>
</sst>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8CFB-EF61-478A-926D-B5BA9B2C04C6}">
  <dimension ref="A1:AE27"/>
  <sheetViews>
    <sheetView tabSelected="1" topLeftCell="D3" workbookViewId="0">
      <selection activeCell="L23" sqref="L23:P26"/>
    </sheetView>
  </sheetViews>
  <sheetFormatPr defaultRowHeight="14.4" x14ac:dyDescent="0.3"/>
  <cols>
    <col min="16" max="16" width="12" bestFit="1" customWidth="1"/>
  </cols>
  <sheetData>
    <row r="1" spans="1:31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131</v>
      </c>
      <c r="R1" s="1" t="s">
        <v>132</v>
      </c>
      <c r="S1" s="1" t="s">
        <v>133</v>
      </c>
      <c r="T1" s="1" t="s">
        <v>122</v>
      </c>
      <c r="U1" s="1" t="s">
        <v>135</v>
      </c>
      <c r="V1" s="1" t="s">
        <v>134</v>
      </c>
      <c r="W1" s="1" t="s">
        <v>136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</row>
    <row r="2" spans="1:31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2013</v>
      </c>
      <c r="F2" s="1">
        <v>2008</v>
      </c>
      <c r="G2" s="1">
        <v>2010</v>
      </c>
      <c r="H2" s="1">
        <v>2</v>
      </c>
      <c r="I2" s="1" t="s">
        <v>4</v>
      </c>
      <c r="J2" s="1">
        <v>42.855815625393497</v>
      </c>
      <c r="K2" s="1">
        <v>-2.6461066820463501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>
        <v>3</v>
      </c>
      <c r="R2" s="1">
        <v>3</v>
      </c>
      <c r="S2" s="1">
        <f t="shared" ref="S2:S10" si="0">(Q2+R2)/2</f>
        <v>3</v>
      </c>
      <c r="T2" s="1" t="s">
        <v>10</v>
      </c>
      <c r="U2" s="1">
        <v>200</v>
      </c>
      <c r="V2" s="1">
        <f>U2/100</f>
        <v>2</v>
      </c>
      <c r="W2" s="1">
        <f>S2/V2</f>
        <v>1.5</v>
      </c>
      <c r="X2" s="1"/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0</v>
      </c>
    </row>
    <row r="3" spans="1:31" x14ac:dyDescent="0.3">
      <c r="A3" s="1" t="s">
        <v>0</v>
      </c>
      <c r="B3" s="1" t="s">
        <v>1</v>
      </c>
      <c r="C3" s="1" t="s">
        <v>2</v>
      </c>
      <c r="D3" s="1" t="s">
        <v>3</v>
      </c>
      <c r="E3" s="1">
        <v>2013</v>
      </c>
      <c r="F3" s="1">
        <v>2008</v>
      </c>
      <c r="G3" s="1">
        <v>2010</v>
      </c>
      <c r="H3" s="1">
        <v>2</v>
      </c>
      <c r="I3" s="1" t="s">
        <v>17</v>
      </c>
      <c r="J3">
        <v>42.667499999999997</v>
      </c>
      <c r="K3">
        <v>-2.8997220000000001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>
        <v>2</v>
      </c>
      <c r="R3" s="1">
        <v>2</v>
      </c>
      <c r="S3" s="1">
        <f t="shared" si="0"/>
        <v>2</v>
      </c>
      <c r="T3" s="1" t="s">
        <v>10</v>
      </c>
      <c r="U3" s="1">
        <v>200</v>
      </c>
      <c r="V3" s="1">
        <f>U3/100</f>
        <v>2</v>
      </c>
      <c r="W3" s="1">
        <f t="shared" ref="W3:W18" si="1">S3/V3</f>
        <v>1</v>
      </c>
      <c r="X3" s="1"/>
      <c r="Y3" s="1" t="s">
        <v>11</v>
      </c>
      <c r="Z3" s="1" t="s">
        <v>12</v>
      </c>
      <c r="AA3" s="1" t="s">
        <v>13</v>
      </c>
      <c r="AB3" s="1" t="s">
        <v>14</v>
      </c>
      <c r="AC3" s="1" t="s">
        <v>15</v>
      </c>
      <c r="AD3" s="1" t="s">
        <v>16</v>
      </c>
      <c r="AE3" s="1" t="s">
        <v>0</v>
      </c>
    </row>
    <row r="4" spans="1:31" x14ac:dyDescent="0.3">
      <c r="A4" s="1" t="s">
        <v>18</v>
      </c>
      <c r="B4" s="1" t="s">
        <v>19</v>
      </c>
      <c r="C4" s="1" t="s">
        <v>20</v>
      </c>
      <c r="D4" s="1" t="s">
        <v>21</v>
      </c>
      <c r="E4" s="1">
        <v>2016</v>
      </c>
      <c r="F4" s="1">
        <v>2009</v>
      </c>
      <c r="G4" s="1">
        <v>2013</v>
      </c>
      <c r="H4" s="1">
        <f>G4-F4</f>
        <v>4</v>
      </c>
      <c r="I4" t="s">
        <v>150</v>
      </c>
      <c r="J4" s="1">
        <v>42.225868206383502</v>
      </c>
      <c r="K4" s="1">
        <v>-8.9053526589379892</v>
      </c>
      <c r="L4" s="1" t="s">
        <v>22</v>
      </c>
      <c r="M4" s="1" t="s">
        <v>23</v>
      </c>
      <c r="N4" s="1" t="s">
        <v>7</v>
      </c>
      <c r="O4" s="1" t="s">
        <v>8</v>
      </c>
      <c r="P4" s="1" t="s">
        <v>24</v>
      </c>
      <c r="Q4" s="1">
        <v>47</v>
      </c>
      <c r="R4" s="1">
        <v>47</v>
      </c>
      <c r="S4" s="1">
        <f t="shared" si="0"/>
        <v>47</v>
      </c>
      <c r="T4" s="1" t="s">
        <v>10</v>
      </c>
      <c r="U4" s="1">
        <v>433</v>
      </c>
      <c r="V4" s="1">
        <v>4.33</v>
      </c>
      <c r="W4" s="1">
        <f t="shared" si="1"/>
        <v>10.854503464203233</v>
      </c>
      <c r="X4" s="1"/>
      <c r="Y4" s="1" t="s">
        <v>25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18</v>
      </c>
    </row>
    <row r="5" spans="1:31" x14ac:dyDescent="0.3">
      <c r="A5" s="1" t="s">
        <v>26</v>
      </c>
      <c r="B5" s="1" t="s">
        <v>27</v>
      </c>
      <c r="C5" s="1" t="s">
        <v>28</v>
      </c>
      <c r="D5" s="1" t="s">
        <v>29</v>
      </c>
      <c r="E5" s="1">
        <v>2012</v>
      </c>
      <c r="F5" s="1">
        <v>2007</v>
      </c>
      <c r="G5" s="1">
        <v>2011</v>
      </c>
      <c r="H5" s="1">
        <v>4</v>
      </c>
      <c r="I5" s="1" t="s">
        <v>30</v>
      </c>
      <c r="J5" s="1">
        <v>43.133584428128302</v>
      </c>
      <c r="K5" s="1">
        <v>-2.58517221312067</v>
      </c>
      <c r="L5" s="1"/>
      <c r="M5" s="1" t="s">
        <v>31</v>
      </c>
      <c r="N5" s="1" t="s">
        <v>7</v>
      </c>
      <c r="O5" s="1" t="s">
        <v>8</v>
      </c>
      <c r="P5" s="1" t="s">
        <v>9</v>
      </c>
      <c r="Q5" s="1">
        <v>120</v>
      </c>
      <c r="R5" s="1">
        <v>120</v>
      </c>
      <c r="S5" s="1">
        <f t="shared" si="0"/>
        <v>120</v>
      </c>
      <c r="T5" s="1" t="s">
        <v>10</v>
      </c>
      <c r="U5" s="1">
        <v>2236</v>
      </c>
      <c r="V5" s="1">
        <f>U5</f>
        <v>2236</v>
      </c>
      <c r="W5" s="1">
        <f t="shared" si="1"/>
        <v>5.3667262969588549E-2</v>
      </c>
      <c r="X5" s="1"/>
      <c r="Y5" s="1" t="s">
        <v>32</v>
      </c>
      <c r="Z5" s="1" t="s">
        <v>12</v>
      </c>
      <c r="AA5" s="1" t="s">
        <v>13</v>
      </c>
      <c r="AB5" s="1" t="s">
        <v>14</v>
      </c>
      <c r="AC5" s="1" t="s">
        <v>15</v>
      </c>
      <c r="AD5" s="1" t="s">
        <v>16</v>
      </c>
      <c r="AE5" s="1" t="s">
        <v>26</v>
      </c>
    </row>
    <row r="6" spans="1:31" x14ac:dyDescent="0.3">
      <c r="A6" s="1" t="s">
        <v>33</v>
      </c>
      <c r="B6" s="1" t="s">
        <v>34</v>
      </c>
      <c r="C6" s="1" t="s">
        <v>35</v>
      </c>
      <c r="D6" s="1"/>
      <c r="E6" s="1"/>
      <c r="F6" s="1">
        <v>1985</v>
      </c>
      <c r="G6" s="1">
        <v>1986</v>
      </c>
      <c r="H6" s="1">
        <v>1</v>
      </c>
      <c r="I6" s="1" t="s">
        <v>144</v>
      </c>
      <c r="J6" s="1">
        <v>52.816626070766901</v>
      </c>
      <c r="K6" s="1">
        <v>-1.5831786921711799</v>
      </c>
      <c r="L6" s="1"/>
      <c r="M6" s="1" t="s">
        <v>36</v>
      </c>
      <c r="N6" s="1" t="s">
        <v>37</v>
      </c>
      <c r="O6" s="1" t="s">
        <v>8</v>
      </c>
      <c r="P6" s="1" t="s">
        <v>24</v>
      </c>
      <c r="Q6" s="1">
        <v>111.20000000000002</v>
      </c>
      <c r="R6" s="1">
        <v>111.20000000000002</v>
      </c>
      <c r="S6" s="1">
        <f t="shared" ref="S6" si="2">(Q6+R6)/2</f>
        <v>111.20000000000002</v>
      </c>
      <c r="T6" s="1" t="s">
        <v>38</v>
      </c>
      <c r="U6" s="1"/>
      <c r="V6" s="1"/>
      <c r="W6" s="1" t="s">
        <v>146</v>
      </c>
      <c r="X6" s="1"/>
      <c r="Y6" s="1" t="s">
        <v>32</v>
      </c>
      <c r="Z6" s="1" t="s">
        <v>12</v>
      </c>
      <c r="AA6" s="1" t="s">
        <v>13</v>
      </c>
      <c r="AB6" s="1" t="s">
        <v>14</v>
      </c>
      <c r="AC6" s="1" t="s">
        <v>15</v>
      </c>
      <c r="AD6" s="1" t="s">
        <v>16</v>
      </c>
      <c r="AE6" s="1" t="s">
        <v>33</v>
      </c>
    </row>
    <row r="7" spans="1:31" x14ac:dyDescent="0.3">
      <c r="A7" s="1" t="s">
        <v>39</v>
      </c>
      <c r="B7" s="1" t="s">
        <v>40</v>
      </c>
      <c r="C7" s="1" t="s">
        <v>41</v>
      </c>
      <c r="D7" s="1" t="s">
        <v>42</v>
      </c>
      <c r="E7" s="1">
        <v>2012</v>
      </c>
      <c r="F7" s="1">
        <v>1995</v>
      </c>
      <c r="G7" s="1">
        <v>2000</v>
      </c>
      <c r="H7" s="1">
        <f>G7-F7</f>
        <v>5</v>
      </c>
      <c r="I7" s="1" t="s">
        <v>137</v>
      </c>
      <c r="J7" s="1">
        <v>53.891539585822997</v>
      </c>
      <c r="K7" s="1">
        <v>21.719432996835899</v>
      </c>
      <c r="L7" s="1"/>
      <c r="M7" s="1" t="s">
        <v>43</v>
      </c>
      <c r="N7" s="1" t="s">
        <v>44</v>
      </c>
      <c r="O7" s="1" t="s">
        <v>8</v>
      </c>
      <c r="P7" s="1" t="s">
        <v>9</v>
      </c>
      <c r="Q7" s="1">
        <v>114</v>
      </c>
      <c r="R7" s="1">
        <v>114</v>
      </c>
      <c r="S7" s="1">
        <f t="shared" si="0"/>
        <v>114</v>
      </c>
      <c r="T7" s="1" t="s">
        <v>10</v>
      </c>
      <c r="U7" s="1"/>
      <c r="V7" s="1">
        <v>12.44</v>
      </c>
      <c r="W7" s="1">
        <f t="shared" si="1"/>
        <v>9.163987138263666</v>
      </c>
      <c r="X7" s="1"/>
      <c r="Y7" s="1" t="s">
        <v>11</v>
      </c>
      <c r="Z7" s="1" t="s">
        <v>12</v>
      </c>
      <c r="AA7" s="1" t="s">
        <v>13</v>
      </c>
      <c r="AB7" s="1" t="s">
        <v>14</v>
      </c>
      <c r="AC7" s="1" t="s">
        <v>15</v>
      </c>
      <c r="AD7" s="1" t="s">
        <v>16</v>
      </c>
      <c r="AE7" s="1" t="s">
        <v>39</v>
      </c>
    </row>
    <row r="8" spans="1:31" x14ac:dyDescent="0.3">
      <c r="A8" s="1" t="s">
        <v>39</v>
      </c>
      <c r="B8" s="1" t="s">
        <v>46</v>
      </c>
      <c r="C8" s="1" t="s">
        <v>47</v>
      </c>
      <c r="D8" s="1" t="s">
        <v>42</v>
      </c>
      <c r="E8">
        <v>2017</v>
      </c>
      <c r="F8">
        <v>2009</v>
      </c>
      <c r="G8">
        <v>2015</v>
      </c>
      <c r="H8" s="1">
        <v>6</v>
      </c>
      <c r="I8" t="s">
        <v>138</v>
      </c>
      <c r="J8">
        <v>53.32063415484</v>
      </c>
      <c r="K8">
        <v>22.632076454469601</v>
      </c>
      <c r="L8" s="1"/>
      <c r="M8" s="1" t="s">
        <v>48</v>
      </c>
      <c r="N8" s="1" t="s">
        <v>44</v>
      </c>
      <c r="O8" s="1" t="s">
        <v>8</v>
      </c>
      <c r="P8" s="1" t="s">
        <v>9</v>
      </c>
      <c r="Q8" s="1">
        <v>592</v>
      </c>
      <c r="R8" s="1">
        <v>592</v>
      </c>
      <c r="S8" s="1">
        <f t="shared" si="0"/>
        <v>592</v>
      </c>
      <c r="T8" s="1" t="s">
        <v>10</v>
      </c>
      <c r="U8" s="1"/>
      <c r="V8" s="1">
        <f>592.23+73.5</f>
        <v>665.73</v>
      </c>
      <c r="W8" s="1">
        <f t="shared" si="1"/>
        <v>0.88924939540053771</v>
      </c>
      <c r="X8" s="1" t="s">
        <v>49</v>
      </c>
      <c r="Y8" s="1" t="s">
        <v>32</v>
      </c>
      <c r="Z8" s="1" t="s">
        <v>12</v>
      </c>
      <c r="AA8" s="1" t="s">
        <v>13</v>
      </c>
      <c r="AB8" s="1" t="s">
        <v>14</v>
      </c>
      <c r="AC8" s="1" t="s">
        <v>15</v>
      </c>
      <c r="AD8" s="1" t="s">
        <v>16</v>
      </c>
      <c r="AE8" s="1" t="s">
        <v>45</v>
      </c>
    </row>
    <row r="9" spans="1:31" x14ac:dyDescent="0.3">
      <c r="A9" s="1" t="s">
        <v>50</v>
      </c>
      <c r="B9" s="1" t="s">
        <v>51</v>
      </c>
      <c r="C9" s="1" t="s">
        <v>52</v>
      </c>
      <c r="D9" s="1"/>
      <c r="E9" s="1"/>
      <c r="F9" s="1">
        <v>1993</v>
      </c>
      <c r="G9" s="1">
        <v>2001</v>
      </c>
      <c r="H9" s="1">
        <v>8</v>
      </c>
      <c r="I9" s="1" t="s">
        <v>140</v>
      </c>
      <c r="J9" s="1">
        <v>60.192757515800601</v>
      </c>
      <c r="K9" s="1">
        <v>21.9091942575979</v>
      </c>
      <c r="L9" s="1"/>
      <c r="M9" s="1" t="s">
        <v>53</v>
      </c>
      <c r="N9" s="1" t="s">
        <v>54</v>
      </c>
      <c r="O9" s="1" t="s">
        <v>8</v>
      </c>
      <c r="P9" s="1" t="s">
        <v>24</v>
      </c>
      <c r="Q9" s="1">
        <v>98</v>
      </c>
      <c r="R9" s="1">
        <v>98</v>
      </c>
      <c r="S9" s="1">
        <f t="shared" si="0"/>
        <v>98</v>
      </c>
      <c r="T9" s="1" t="s">
        <v>10</v>
      </c>
      <c r="U9" s="1">
        <v>72</v>
      </c>
      <c r="V9" s="1">
        <v>1.1499999999999999</v>
      </c>
      <c r="W9" s="1">
        <f t="shared" si="1"/>
        <v>85.217391304347828</v>
      </c>
      <c r="X9" s="1" t="s">
        <v>49</v>
      </c>
      <c r="Y9" s="1" t="s">
        <v>25</v>
      </c>
      <c r="Z9" s="1" t="s">
        <v>12</v>
      </c>
      <c r="AA9" s="1" t="s">
        <v>13</v>
      </c>
      <c r="AB9" s="1" t="s">
        <v>14</v>
      </c>
      <c r="AC9" s="1" t="s">
        <v>15</v>
      </c>
      <c r="AD9" s="1" t="s">
        <v>16</v>
      </c>
      <c r="AE9" s="1" t="s">
        <v>50</v>
      </c>
    </row>
    <row r="10" spans="1:31" x14ac:dyDescent="0.3">
      <c r="A10" s="1" t="s">
        <v>50</v>
      </c>
      <c r="B10" s="1" t="s">
        <v>51</v>
      </c>
      <c r="C10" s="1" t="s">
        <v>52</v>
      </c>
      <c r="D10" s="1"/>
      <c r="E10" s="1"/>
      <c r="F10" s="1">
        <v>1998</v>
      </c>
      <c r="G10" s="1">
        <v>2001</v>
      </c>
      <c r="H10" s="1">
        <v>3</v>
      </c>
      <c r="I10" s="1" t="s">
        <v>139</v>
      </c>
      <c r="J10" s="1">
        <v>60.1635560657163</v>
      </c>
      <c r="K10" s="1">
        <v>21.5588715511301</v>
      </c>
      <c r="L10" s="1"/>
      <c r="M10" s="1" t="s">
        <v>53</v>
      </c>
      <c r="N10" s="1" t="s">
        <v>54</v>
      </c>
      <c r="O10" s="1" t="s">
        <v>8</v>
      </c>
      <c r="P10" s="1" t="s">
        <v>24</v>
      </c>
      <c r="Q10" s="1">
        <v>50</v>
      </c>
      <c r="R10" s="1">
        <v>50</v>
      </c>
      <c r="S10" s="1">
        <f t="shared" si="0"/>
        <v>50</v>
      </c>
      <c r="T10" s="1" t="s">
        <v>10</v>
      </c>
      <c r="U10" s="1">
        <v>125</v>
      </c>
      <c r="V10" s="1">
        <v>1.08</v>
      </c>
      <c r="W10" s="1">
        <f t="shared" si="1"/>
        <v>46.296296296296291</v>
      </c>
      <c r="X10" s="1" t="s">
        <v>49</v>
      </c>
      <c r="Y10" s="1" t="s">
        <v>25</v>
      </c>
      <c r="Z10" s="1" t="s">
        <v>12</v>
      </c>
      <c r="AA10" s="1" t="s">
        <v>13</v>
      </c>
      <c r="AB10" s="1" t="s">
        <v>14</v>
      </c>
      <c r="AC10" s="1" t="s">
        <v>15</v>
      </c>
      <c r="AD10" s="1" t="s">
        <v>16</v>
      </c>
      <c r="AE10" s="1" t="s">
        <v>50</v>
      </c>
    </row>
    <row r="11" spans="1:31" x14ac:dyDescent="0.3">
      <c r="A11" s="1" t="s">
        <v>55</v>
      </c>
      <c r="B11" s="1" t="s">
        <v>56</v>
      </c>
      <c r="C11" s="1" t="s">
        <v>57</v>
      </c>
      <c r="D11" s="1" t="s">
        <v>58</v>
      </c>
      <c r="E11" s="1">
        <v>2012</v>
      </c>
      <c r="F11" s="1">
        <v>2010</v>
      </c>
      <c r="G11" s="1">
        <v>2011</v>
      </c>
      <c r="H11" s="1">
        <v>1</v>
      </c>
      <c r="I11" s="1" t="s">
        <v>59</v>
      </c>
      <c r="J11" s="1">
        <v>-47.1500129711469</v>
      </c>
      <c r="K11" s="1">
        <v>-70.943211816727697</v>
      </c>
      <c r="L11" s="1"/>
      <c r="M11" s="1" t="s">
        <v>60</v>
      </c>
      <c r="N11" s="1" t="s">
        <v>61</v>
      </c>
      <c r="O11" s="1" t="s">
        <v>62</v>
      </c>
      <c r="P11" s="1" t="s">
        <v>9</v>
      </c>
      <c r="Q11" s="1">
        <v>1</v>
      </c>
      <c r="R11" s="1">
        <v>2</v>
      </c>
      <c r="S11" s="1">
        <f>(Q11+R11)/2</f>
        <v>1.5</v>
      </c>
      <c r="T11" s="1" t="s">
        <v>10</v>
      </c>
      <c r="U11" s="1">
        <v>9</v>
      </c>
      <c r="V11" s="1">
        <f>U11/100</f>
        <v>0.09</v>
      </c>
      <c r="W11" s="1">
        <f t="shared" si="1"/>
        <v>16.666666666666668</v>
      </c>
      <c r="X11" s="1"/>
      <c r="Y11" s="1" t="s">
        <v>11</v>
      </c>
      <c r="Z11" s="1" t="s">
        <v>12</v>
      </c>
      <c r="AA11" s="1" t="s">
        <v>13</v>
      </c>
      <c r="AB11" s="1" t="s">
        <v>14</v>
      </c>
      <c r="AC11" s="1" t="s">
        <v>15</v>
      </c>
      <c r="AD11" s="1" t="s">
        <v>16</v>
      </c>
      <c r="AE11" s="1" t="s">
        <v>55</v>
      </c>
    </row>
    <row r="12" spans="1:31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>
        <v>1999</v>
      </c>
      <c r="F12" s="1">
        <v>1996</v>
      </c>
      <c r="G12" s="1">
        <v>1996</v>
      </c>
      <c r="H12" s="1">
        <v>0</v>
      </c>
      <c r="I12" s="1" t="s">
        <v>67</v>
      </c>
      <c r="J12" s="1">
        <v>51.7</v>
      </c>
      <c r="K12" s="1">
        <v>-1.542</v>
      </c>
      <c r="L12" s="1"/>
      <c r="M12" s="1" t="s">
        <v>68</v>
      </c>
      <c r="N12" s="1" t="s">
        <v>37</v>
      </c>
      <c r="O12" s="1" t="s">
        <v>8</v>
      </c>
      <c r="P12" s="1" t="s">
        <v>24</v>
      </c>
      <c r="Q12" s="1">
        <f>3+2+1</f>
        <v>6</v>
      </c>
      <c r="R12" s="1">
        <f>8+2+3</f>
        <v>13</v>
      </c>
      <c r="S12" s="1">
        <f>AVERAGE(Q12:R12)</f>
        <v>9.5</v>
      </c>
      <c r="T12" s="1" t="s">
        <v>10</v>
      </c>
      <c r="U12" s="1"/>
      <c r="V12" s="1">
        <v>0.30625000000000002</v>
      </c>
      <c r="W12" s="1">
        <f t="shared" si="1"/>
        <v>31.020408163265305</v>
      </c>
      <c r="X12" s="1"/>
      <c r="Y12" s="1" t="s">
        <v>11</v>
      </c>
      <c r="Z12" s="1" t="s">
        <v>12</v>
      </c>
      <c r="AA12" s="1" t="s">
        <v>13</v>
      </c>
      <c r="AB12" s="1" t="s">
        <v>14</v>
      </c>
      <c r="AC12" s="1" t="s">
        <v>15</v>
      </c>
      <c r="AD12" s="1" t="s">
        <v>16</v>
      </c>
      <c r="AE12" s="1" t="s">
        <v>63</v>
      </c>
    </row>
    <row r="13" spans="1:31" x14ac:dyDescent="0.3">
      <c r="A13" s="1" t="s">
        <v>69</v>
      </c>
      <c r="B13" s="1" t="s">
        <v>70</v>
      </c>
      <c r="C13" s="1" t="s">
        <v>71</v>
      </c>
      <c r="D13" s="1" t="s">
        <v>72</v>
      </c>
      <c r="E13" s="1">
        <v>2004</v>
      </c>
      <c r="F13" s="1">
        <v>1972</v>
      </c>
      <c r="G13" s="1">
        <v>2000</v>
      </c>
      <c r="H13" s="1">
        <v>3</v>
      </c>
      <c r="I13" s="1" t="s">
        <v>73</v>
      </c>
      <c r="J13" s="1">
        <v>50.624449244861303</v>
      </c>
      <c r="K13" s="1">
        <v>-3.6386450191276598</v>
      </c>
      <c r="L13" s="1"/>
      <c r="M13" s="1" t="s">
        <v>74</v>
      </c>
      <c r="N13" s="1" t="s">
        <v>37</v>
      </c>
      <c r="O13" s="1" t="s">
        <v>8</v>
      </c>
      <c r="P13" s="1" t="s">
        <v>24</v>
      </c>
      <c r="Q13" s="1">
        <v>4.3999999999999997E-2</v>
      </c>
      <c r="R13" s="1">
        <v>9.4E-2</v>
      </c>
      <c r="S13" s="1">
        <f>AVERAGE(Q13:R13)</f>
        <v>6.9000000000000006E-2</v>
      </c>
      <c r="T13" s="1" t="s">
        <v>147</v>
      </c>
      <c r="U13" s="1"/>
      <c r="V13" s="1"/>
      <c r="W13" s="1">
        <v>6.9000000000000006E-2</v>
      </c>
      <c r="X13" s="1"/>
      <c r="Y13" s="1" t="s">
        <v>32</v>
      </c>
      <c r="Z13" s="1" t="s">
        <v>12</v>
      </c>
      <c r="AA13" s="1" t="s">
        <v>13</v>
      </c>
      <c r="AB13" s="1" t="s">
        <v>14</v>
      </c>
      <c r="AC13" s="1" t="s">
        <v>15</v>
      </c>
      <c r="AD13" s="1" t="s">
        <v>16</v>
      </c>
      <c r="AE13" s="1" t="s">
        <v>69</v>
      </c>
    </row>
    <row r="14" spans="1:31" x14ac:dyDescent="0.3">
      <c r="A14" s="1" t="s">
        <v>75</v>
      </c>
      <c r="B14" s="1" t="s">
        <v>76</v>
      </c>
      <c r="C14" s="1" t="s">
        <v>77</v>
      </c>
      <c r="D14" s="1" t="s">
        <v>78</v>
      </c>
      <c r="E14" s="1">
        <v>1988</v>
      </c>
      <c r="F14" s="1">
        <v>1985</v>
      </c>
      <c r="G14" s="1">
        <v>1986</v>
      </c>
      <c r="H14" s="1">
        <v>1</v>
      </c>
      <c r="I14" s="1" t="s">
        <v>148</v>
      </c>
      <c r="J14">
        <v>59.689433319999999</v>
      </c>
      <c r="K14">
        <v>10.783387790000001</v>
      </c>
      <c r="L14" s="1"/>
      <c r="M14" s="1" t="s">
        <v>79</v>
      </c>
      <c r="N14" s="1" t="s">
        <v>80</v>
      </c>
      <c r="O14" s="1" t="s">
        <v>8</v>
      </c>
      <c r="P14" s="1" t="s">
        <v>9</v>
      </c>
      <c r="Q14">
        <v>3</v>
      </c>
      <c r="R14">
        <v>4</v>
      </c>
      <c r="S14" s="1">
        <f>AVERAGE(Q14:R14)</f>
        <v>3.5</v>
      </c>
      <c r="T14" s="1" t="s">
        <v>10</v>
      </c>
      <c r="U14" s="1"/>
      <c r="V14" s="1" t="s">
        <v>145</v>
      </c>
      <c r="W14" s="1"/>
      <c r="X14" s="1" t="s">
        <v>49</v>
      </c>
      <c r="Y14" s="1" t="s">
        <v>11</v>
      </c>
      <c r="Z14" s="1" t="s">
        <v>12</v>
      </c>
      <c r="AA14" s="1" t="s">
        <v>13</v>
      </c>
      <c r="AB14" s="1" t="s">
        <v>14</v>
      </c>
      <c r="AC14" s="1" t="s">
        <v>15</v>
      </c>
      <c r="AD14" s="1" t="s">
        <v>16</v>
      </c>
      <c r="AE14" s="1" t="s">
        <v>75</v>
      </c>
    </row>
    <row r="15" spans="1:31" s="1" customFormat="1" x14ac:dyDescent="0.3">
      <c r="A15" s="1" t="s">
        <v>75</v>
      </c>
      <c r="B15" s="1" t="s">
        <v>76</v>
      </c>
      <c r="C15" s="1" t="s">
        <v>77</v>
      </c>
      <c r="D15" s="1" t="s">
        <v>78</v>
      </c>
      <c r="E15" s="1">
        <v>1988</v>
      </c>
      <c r="F15" s="1">
        <v>1986</v>
      </c>
      <c r="G15" s="1">
        <v>1986</v>
      </c>
      <c r="H15" s="1">
        <v>1</v>
      </c>
      <c r="I15" s="1" t="s">
        <v>149</v>
      </c>
      <c r="J15" s="1">
        <v>59.991733000000004</v>
      </c>
      <c r="K15" s="1">
        <v>10.566753</v>
      </c>
      <c r="M15" s="1" t="s">
        <v>80</v>
      </c>
      <c r="N15" s="1" t="s">
        <v>80</v>
      </c>
      <c r="O15" s="1" t="s">
        <v>8</v>
      </c>
      <c r="P15" s="1" t="s">
        <v>9</v>
      </c>
      <c r="Q15" s="1">
        <v>1</v>
      </c>
      <c r="R15" s="1">
        <v>4</v>
      </c>
      <c r="S15" s="1">
        <f>AVERAGE(Q15:R15)</f>
        <v>2.5</v>
      </c>
      <c r="T15" s="1" t="s">
        <v>10</v>
      </c>
      <c r="V15" s="1">
        <v>2.0392E-2</v>
      </c>
      <c r="W15" s="1">
        <f>S15/V15</f>
        <v>122.59709690074538</v>
      </c>
      <c r="X15" s="1" t="s">
        <v>49</v>
      </c>
      <c r="Y15" s="1" t="s">
        <v>11</v>
      </c>
      <c r="Z15" s="1" t="s">
        <v>12</v>
      </c>
      <c r="AA15" s="1" t="s">
        <v>13</v>
      </c>
      <c r="AB15" s="1" t="s">
        <v>14</v>
      </c>
      <c r="AC15" s="1" t="s">
        <v>15</v>
      </c>
      <c r="AD15" s="1" t="s">
        <v>16</v>
      </c>
      <c r="AE15" s="1" t="s">
        <v>75</v>
      </c>
    </row>
    <row r="16" spans="1:31" x14ac:dyDescent="0.3">
      <c r="A16" t="s">
        <v>81</v>
      </c>
      <c r="B16" t="s">
        <v>82</v>
      </c>
      <c r="C16" t="s">
        <v>83</v>
      </c>
      <c r="D16" t="s">
        <v>84</v>
      </c>
      <c r="E16">
        <v>1998</v>
      </c>
      <c r="F16">
        <v>1997</v>
      </c>
      <c r="G16">
        <v>1997</v>
      </c>
      <c r="H16">
        <v>1</v>
      </c>
      <c r="I16" t="s">
        <v>142</v>
      </c>
      <c r="J16">
        <v>-40.957432885816701</v>
      </c>
      <c r="K16">
        <v>-71.536020393861506</v>
      </c>
      <c r="L16">
        <v>0</v>
      </c>
      <c r="M16" t="s">
        <v>85</v>
      </c>
      <c r="N16" t="s">
        <v>61</v>
      </c>
      <c r="O16" t="s">
        <v>62</v>
      </c>
      <c r="P16" t="s">
        <v>24</v>
      </c>
      <c r="Q16">
        <v>3.2000000000000001E-2</v>
      </c>
      <c r="R16">
        <v>3.2000000000000001E-2</v>
      </c>
      <c r="S16">
        <v>3.2000000000000001E-2</v>
      </c>
      <c r="T16" t="s">
        <v>141</v>
      </c>
      <c r="U16" s="1"/>
      <c r="V16" s="1">
        <v>7800</v>
      </c>
      <c r="W16" s="1"/>
      <c r="X16" s="1"/>
      <c r="Y16" s="1" t="s">
        <v>86</v>
      </c>
      <c r="Z16" s="1" t="s">
        <v>12</v>
      </c>
      <c r="AA16" s="1" t="s">
        <v>13</v>
      </c>
      <c r="AB16" s="1" t="s">
        <v>14</v>
      </c>
      <c r="AC16" s="1" t="s">
        <v>15</v>
      </c>
      <c r="AD16" s="1" t="s">
        <v>16</v>
      </c>
      <c r="AE16" s="1" t="s">
        <v>81</v>
      </c>
    </row>
    <row r="17" spans="1:31" x14ac:dyDescent="0.3">
      <c r="A17" t="s">
        <v>87</v>
      </c>
      <c r="B17" t="s">
        <v>88</v>
      </c>
      <c r="C17" t="s">
        <v>89</v>
      </c>
      <c r="D17" t="s">
        <v>90</v>
      </c>
      <c r="E17">
        <v>2018</v>
      </c>
      <c r="F17">
        <v>2017</v>
      </c>
      <c r="G17">
        <v>2017</v>
      </c>
      <c r="H17">
        <v>1</v>
      </c>
      <c r="I17" t="s">
        <v>91</v>
      </c>
      <c r="J17">
        <v>66.400000000000006</v>
      </c>
      <c r="K17">
        <v>129.666666666666</v>
      </c>
      <c r="L17">
        <v>0</v>
      </c>
      <c r="M17" t="s">
        <v>91</v>
      </c>
      <c r="N17" t="s">
        <v>92</v>
      </c>
      <c r="O17" t="s">
        <v>93</v>
      </c>
      <c r="P17" t="s">
        <v>9</v>
      </c>
      <c r="Q17">
        <v>4000</v>
      </c>
      <c r="R17">
        <v>4500</v>
      </c>
      <c r="S17">
        <v>5000</v>
      </c>
      <c r="T17" t="s">
        <v>10</v>
      </c>
      <c r="V17">
        <v>3083523</v>
      </c>
      <c r="W17" s="1">
        <f t="shared" si="1"/>
        <v>1.6215218761137828E-3</v>
      </c>
      <c r="X17" t="s">
        <v>49</v>
      </c>
      <c r="Y17" t="s">
        <v>11</v>
      </c>
      <c r="Z17" t="s">
        <v>12</v>
      </c>
      <c r="AA17" t="s">
        <v>13</v>
      </c>
      <c r="AB17" t="s">
        <v>14</v>
      </c>
      <c r="AC17" t="s">
        <v>15</v>
      </c>
      <c r="AD17" t="s">
        <v>16</v>
      </c>
      <c r="AE17" t="s">
        <v>87</v>
      </c>
    </row>
    <row r="18" spans="1:31" x14ac:dyDescent="0.3">
      <c r="A18" t="s">
        <v>87</v>
      </c>
      <c r="B18" t="s">
        <v>88</v>
      </c>
      <c r="C18" t="s">
        <v>89</v>
      </c>
      <c r="D18" t="s">
        <v>90</v>
      </c>
      <c r="E18">
        <v>2018</v>
      </c>
      <c r="F18">
        <v>1961</v>
      </c>
      <c r="G18">
        <v>1964</v>
      </c>
      <c r="H18">
        <v>4</v>
      </c>
      <c r="I18" t="s">
        <v>91</v>
      </c>
      <c r="J18">
        <v>66.400000000000006</v>
      </c>
      <c r="K18">
        <v>129.666666666666</v>
      </c>
      <c r="L18">
        <v>0</v>
      </c>
      <c r="M18" t="s">
        <v>91</v>
      </c>
      <c r="N18" t="s">
        <v>92</v>
      </c>
      <c r="O18" t="s">
        <v>93</v>
      </c>
      <c r="P18" t="s">
        <v>9</v>
      </c>
      <c r="Q18">
        <v>686</v>
      </c>
      <c r="R18">
        <v>686</v>
      </c>
      <c r="S18">
        <v>686</v>
      </c>
      <c r="T18" t="s">
        <v>10</v>
      </c>
      <c r="V18">
        <v>3083523</v>
      </c>
      <c r="W18" s="1">
        <f t="shared" si="1"/>
        <v>2.2247280140281101E-4</v>
      </c>
      <c r="X18" t="s">
        <v>49</v>
      </c>
      <c r="Y18" t="s">
        <v>32</v>
      </c>
      <c r="Z18" t="s">
        <v>12</v>
      </c>
      <c r="AA18" t="s">
        <v>13</v>
      </c>
      <c r="AB18" t="s">
        <v>14</v>
      </c>
      <c r="AC18" t="s">
        <v>15</v>
      </c>
      <c r="AD18" t="s">
        <v>16</v>
      </c>
      <c r="AE18" t="s">
        <v>87</v>
      </c>
    </row>
    <row r="19" spans="1:31" x14ac:dyDescent="0.3">
      <c r="A19" t="s">
        <v>94</v>
      </c>
      <c r="B19" t="s">
        <v>95</v>
      </c>
      <c r="C19" t="s">
        <v>96</v>
      </c>
      <c r="D19" t="s">
        <v>97</v>
      </c>
      <c r="E19">
        <v>2009</v>
      </c>
      <c r="F19">
        <v>1995</v>
      </c>
      <c r="G19">
        <v>1997</v>
      </c>
      <c r="H19">
        <v>2</v>
      </c>
      <c r="I19" t="s">
        <v>98</v>
      </c>
      <c r="J19">
        <v>51.699995673283503</v>
      </c>
      <c r="K19">
        <v>-1.4666866957496001</v>
      </c>
      <c r="L19" t="s">
        <v>99</v>
      </c>
      <c r="M19" t="s">
        <v>100</v>
      </c>
      <c r="N19" t="s">
        <v>37</v>
      </c>
      <c r="O19" t="s">
        <v>8</v>
      </c>
      <c r="P19" t="s">
        <v>24</v>
      </c>
      <c r="Q19">
        <v>0.45</v>
      </c>
      <c r="R19">
        <v>0.45</v>
      </c>
      <c r="S19">
        <v>0.45</v>
      </c>
      <c r="T19" t="s">
        <v>101</v>
      </c>
      <c r="V19">
        <v>0.3</v>
      </c>
      <c r="W19" s="1"/>
      <c r="Y19" t="s">
        <v>86</v>
      </c>
      <c r="Z19" t="s">
        <v>12</v>
      </c>
      <c r="AA19" t="s">
        <v>13</v>
      </c>
      <c r="AB19" t="s">
        <v>14</v>
      </c>
      <c r="AC19" t="s">
        <v>15</v>
      </c>
      <c r="AD19" t="s">
        <v>16</v>
      </c>
      <c r="AE19" t="s">
        <v>94</v>
      </c>
    </row>
    <row r="20" spans="1:31" x14ac:dyDescent="0.3">
      <c r="A20" t="s">
        <v>94</v>
      </c>
      <c r="B20" t="s">
        <v>95</v>
      </c>
      <c r="C20" t="s">
        <v>96</v>
      </c>
      <c r="D20" t="s">
        <v>97</v>
      </c>
      <c r="E20">
        <v>2009</v>
      </c>
      <c r="F20">
        <v>2005</v>
      </c>
      <c r="G20">
        <v>2006</v>
      </c>
      <c r="H20">
        <v>1</v>
      </c>
      <c r="I20" t="s">
        <v>98</v>
      </c>
      <c r="J20">
        <v>51.699995673283503</v>
      </c>
      <c r="K20">
        <v>-1.4666866957496001</v>
      </c>
      <c r="L20" t="s">
        <v>99</v>
      </c>
      <c r="M20" t="s">
        <v>100</v>
      </c>
      <c r="N20" t="s">
        <v>37</v>
      </c>
      <c r="O20" t="s">
        <v>8</v>
      </c>
      <c r="P20" t="s">
        <v>24</v>
      </c>
      <c r="Q20">
        <v>0.9</v>
      </c>
      <c r="R20">
        <v>0.9</v>
      </c>
      <c r="S20">
        <v>0.9</v>
      </c>
      <c r="T20" t="s">
        <v>101</v>
      </c>
      <c r="V20">
        <v>0.3</v>
      </c>
      <c r="W20" s="1"/>
      <c r="Y20" t="s">
        <v>86</v>
      </c>
      <c r="Z20" t="s">
        <v>12</v>
      </c>
      <c r="AA20" t="s">
        <v>13</v>
      </c>
      <c r="AB20" t="s">
        <v>14</v>
      </c>
      <c r="AC20" t="s">
        <v>15</v>
      </c>
      <c r="AD20" t="s">
        <v>16</v>
      </c>
      <c r="AE20" t="s">
        <v>94</v>
      </c>
    </row>
    <row r="21" spans="1:31" x14ac:dyDescent="0.3">
      <c r="A21" t="s">
        <v>102</v>
      </c>
      <c r="B21" t="s">
        <v>103</v>
      </c>
      <c r="C21" t="s">
        <v>104</v>
      </c>
      <c r="D21">
        <v>0</v>
      </c>
      <c r="E21">
        <v>0</v>
      </c>
      <c r="F21">
        <v>1985</v>
      </c>
      <c r="G21">
        <v>1986</v>
      </c>
      <c r="H21">
        <v>2</v>
      </c>
      <c r="I21" t="s">
        <v>143</v>
      </c>
      <c r="J21">
        <v>54.3957947110462</v>
      </c>
      <c r="K21">
        <v>-0.73719900313048203</v>
      </c>
      <c r="L21">
        <v>0</v>
      </c>
      <c r="M21" t="s">
        <v>36</v>
      </c>
      <c r="N21" t="s">
        <v>37</v>
      </c>
      <c r="O21" t="s">
        <v>8</v>
      </c>
      <c r="P21" t="s">
        <v>24</v>
      </c>
      <c r="Q21">
        <v>22.9</v>
      </c>
      <c r="R21">
        <v>22.9</v>
      </c>
      <c r="S21">
        <v>22.9</v>
      </c>
      <c r="T21" t="s">
        <v>105</v>
      </c>
      <c r="V21" t="s">
        <v>145</v>
      </c>
      <c r="W21" s="1" t="s">
        <v>146</v>
      </c>
      <c r="Y21" t="s">
        <v>11</v>
      </c>
      <c r="Z21" t="s">
        <v>12</v>
      </c>
      <c r="AA21" t="s">
        <v>13</v>
      </c>
      <c r="AB21" t="s">
        <v>14</v>
      </c>
      <c r="AC21" t="s">
        <v>15</v>
      </c>
      <c r="AD21" t="s">
        <v>16</v>
      </c>
      <c r="AE21" t="s">
        <v>102</v>
      </c>
    </row>
    <row r="22" spans="1:3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3">
      <c r="G25" s="1"/>
      <c r="H25" s="1"/>
      <c r="M25" s="1"/>
      <c r="T25" s="1"/>
    </row>
    <row r="26" spans="1:31" x14ac:dyDescent="0.3">
      <c r="L26" s="1"/>
      <c r="T26" s="1"/>
    </row>
    <row r="27" spans="1:31" x14ac:dyDescent="0.3">
      <c r="T27" s="1"/>
      <c r="U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neogale_vison_dataset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Stewart</dc:creator>
  <cp:lastModifiedBy>Malcolm Stewart</cp:lastModifiedBy>
  <dcterms:created xsi:type="dcterms:W3CDTF">2026-06-10T13:47:55Z</dcterms:created>
  <dcterms:modified xsi:type="dcterms:W3CDTF">2026-07-29T14:22:27Z</dcterms:modified>
</cp:coreProperties>
</file>